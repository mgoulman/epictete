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CER SWIFT\Desktop\"/>
    </mc:Choice>
  </mc:AlternateContent>
  <xr:revisionPtr revIDLastSave="0" documentId="13_ncr:1_{D79356CF-95D0-43F7-A10E-F201B51477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CEMBRE 2025" sheetId="1" r:id="rId1"/>
    <sheet name="JANVIER 2026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" l="1"/>
  <c r="H16" i="2"/>
  <c r="F40" i="2"/>
  <c r="G40" i="2"/>
  <c r="H31" i="2"/>
  <c r="H30" i="2"/>
  <c r="H28" i="2"/>
  <c r="H27" i="2"/>
  <c r="H26" i="2"/>
  <c r="H25" i="2"/>
  <c r="H22" i="2"/>
  <c r="H21" i="2"/>
  <c r="H13" i="2"/>
  <c r="H12" i="2"/>
  <c r="H11" i="2"/>
  <c r="H10" i="2"/>
  <c r="H9" i="2"/>
  <c r="H8" i="2"/>
  <c r="H7" i="2"/>
  <c r="H5" i="2"/>
  <c r="H4" i="2"/>
  <c r="K40" i="2"/>
  <c r="J37" i="1"/>
  <c r="F37" i="1"/>
  <c r="E37" i="1"/>
  <c r="H40" i="2" l="1"/>
</calcChain>
</file>

<file path=xl/sharedStrings.xml><?xml version="1.0" encoding="utf-8"?>
<sst xmlns="http://schemas.openxmlformats.org/spreadsheetml/2006/main" count="322" uniqueCount="135">
  <si>
    <t>Nom Et Prénom</t>
  </si>
  <si>
    <t>Fonction</t>
  </si>
  <si>
    <t>Nombre de jour travaillé</t>
  </si>
  <si>
    <t>Salaire</t>
  </si>
  <si>
    <t>AVANCE</t>
  </si>
  <si>
    <t>Salaire à payer</t>
  </si>
  <si>
    <t>Rib Banquer</t>
  </si>
  <si>
    <t>Numéro D'identité</t>
  </si>
  <si>
    <t>ALAOUI ADIB ABDESLAM</t>
  </si>
  <si>
    <t>MANAGER</t>
  </si>
  <si>
    <t>26J</t>
  </si>
  <si>
    <t>230450838150621100190081</t>
  </si>
  <si>
    <t>BE856479</t>
  </si>
  <si>
    <t xml:space="preserve">BENLAHRIR FATINE </t>
  </si>
  <si>
    <t>ASS.MANAGER</t>
  </si>
  <si>
    <t>230780952297521100690078</t>
  </si>
  <si>
    <t>BE865705</t>
  </si>
  <si>
    <t>CUISINE</t>
  </si>
  <si>
    <t>MOHAMED BOUSTTA</t>
  </si>
  <si>
    <t>SOUS CHEF</t>
  </si>
  <si>
    <t>BE855054</t>
  </si>
  <si>
    <t>AHRIKN GHIZLANE</t>
  </si>
  <si>
    <t>230791270987221102640048</t>
  </si>
  <si>
    <t>BK 647037</t>
  </si>
  <si>
    <t>JARRAR IBRAHIM</t>
  </si>
  <si>
    <t>007791001530330040011261</t>
  </si>
  <si>
    <t>T253888</t>
  </si>
  <si>
    <t>BOUJEMAA ET TAAJ</t>
  </si>
  <si>
    <t>350810000000000965607237</t>
  </si>
  <si>
    <t>IE40144</t>
  </si>
  <si>
    <t>IBTISSAM CHERKAOUI</t>
  </si>
  <si>
    <t>190780211117177923000318</t>
  </si>
  <si>
    <t>A449562</t>
  </si>
  <si>
    <t>HAJAR KHLIFI TAGHZOUTI</t>
  </si>
  <si>
    <t>230780514606821102060083</t>
  </si>
  <si>
    <t>BK321507</t>
  </si>
  <si>
    <t>BENHADAR YASSINE</t>
  </si>
  <si>
    <t>24J</t>
  </si>
  <si>
    <t>021791000012500106685135</t>
  </si>
  <si>
    <t>BW11942</t>
  </si>
  <si>
    <t>OUSSAMA ECHCHAOUI</t>
  </si>
  <si>
    <t>BW34559</t>
  </si>
  <si>
    <t>PIZZAIOLO</t>
  </si>
  <si>
    <t>EDDAOUDY LAHCEN</t>
  </si>
  <si>
    <t>007010000038430040107932</t>
  </si>
  <si>
    <t>IE48661</t>
  </si>
  <si>
    <t>H</t>
  </si>
  <si>
    <t>OUSSAMA OUALI</t>
  </si>
  <si>
    <t>EE691812</t>
  </si>
  <si>
    <t>CAISSIERE</t>
  </si>
  <si>
    <t>CAISSE</t>
  </si>
  <si>
    <t>BARMAN</t>
  </si>
  <si>
    <t xml:space="preserve">ABDALLAOUI ZAKARIA  </t>
  </si>
  <si>
    <t>BAR</t>
  </si>
  <si>
    <t>230780313879121102600071</t>
  </si>
  <si>
    <t>BK700215</t>
  </si>
  <si>
    <t>EL HABIB EDAHBI</t>
  </si>
  <si>
    <t>230780332234721101300014</t>
  </si>
  <si>
    <t>EE540665</t>
  </si>
  <si>
    <t>SALLE</t>
  </si>
  <si>
    <t>RAJI FADWA</t>
  </si>
  <si>
    <t>CHEF DE RANG</t>
  </si>
  <si>
    <t>007780000697430040020905</t>
  </si>
  <si>
    <t>BH390504</t>
  </si>
  <si>
    <t>KESSABI AMINE</t>
  </si>
  <si>
    <t>BE778748</t>
  </si>
  <si>
    <t>EL MAATAOUI OUMAIMA</t>
  </si>
  <si>
    <t>SALLE (COMMIS)</t>
  </si>
  <si>
    <t>230780488448621100140027</t>
  </si>
  <si>
    <t>BJ471658</t>
  </si>
  <si>
    <t>AIT TALAT EL HASSAN</t>
  </si>
  <si>
    <t>007795001266430040061251</t>
  </si>
  <si>
    <t>BK276191</t>
  </si>
  <si>
    <t>THIERNO BOUBACAR</t>
  </si>
  <si>
    <t>10120040225000063</t>
  </si>
  <si>
    <t>MENAGE</t>
  </si>
  <si>
    <t>SAKI SIHAME</t>
  </si>
  <si>
    <t>230780346603021101270008</t>
  </si>
  <si>
    <t>BK 508332</t>
  </si>
  <si>
    <t>OUMAIMA</t>
  </si>
  <si>
    <t>ABOUBAKAR</t>
  </si>
  <si>
    <t>STEWARD</t>
  </si>
  <si>
    <t>IDO EBOU CLARISSE</t>
  </si>
  <si>
    <t>PLONGE</t>
  </si>
  <si>
    <t>LAKHAL MOHAMED</t>
  </si>
  <si>
    <t>CHAUFFEUR</t>
  </si>
  <si>
    <t>230780245164721100290093</t>
  </si>
  <si>
    <t>230780839065521100420031</t>
  </si>
  <si>
    <t>230791548635421103120048</t>
  </si>
  <si>
    <t>PRIME</t>
  </si>
  <si>
    <t>190780211116840601000682</t>
  </si>
  <si>
    <t>28J</t>
  </si>
  <si>
    <t>25J</t>
  </si>
  <si>
    <t>BW96600</t>
  </si>
  <si>
    <t xml:space="preserve"> </t>
  </si>
  <si>
    <t>DERNIER JRS 08/01</t>
  </si>
  <si>
    <t>DERNIER JRS 17/01</t>
  </si>
  <si>
    <t>DERNIER JRS 22/01</t>
  </si>
  <si>
    <t>1500 RESTE</t>
  </si>
  <si>
    <t>DERNIER JRS FIN JAVIER</t>
  </si>
  <si>
    <t>NOM ET PRENOM</t>
  </si>
  <si>
    <t>FONCTION</t>
  </si>
  <si>
    <t>N° DE JOURS TRAVAILLER</t>
  </si>
  <si>
    <t>N° DE JOURS FERIERS</t>
  </si>
  <si>
    <t>SALAIRE</t>
  </si>
  <si>
    <t>SALAIRE A PAYER</t>
  </si>
  <si>
    <t>RIB BANQUER</t>
  </si>
  <si>
    <t>N° D'IDENTITE</t>
  </si>
  <si>
    <t>22J</t>
  </si>
  <si>
    <t>19J</t>
  </si>
  <si>
    <t>06J</t>
  </si>
  <si>
    <t>14J</t>
  </si>
  <si>
    <t>COURSIER</t>
  </si>
  <si>
    <t>08J</t>
  </si>
  <si>
    <t>OUSSAMA ACHRAF</t>
  </si>
  <si>
    <t>0J</t>
  </si>
  <si>
    <t>01J</t>
  </si>
  <si>
    <t>00J</t>
  </si>
  <si>
    <t>11J</t>
  </si>
  <si>
    <t>SOUBKI FAISSAL</t>
  </si>
  <si>
    <t>SH7412</t>
  </si>
  <si>
    <t>SECK MOMAR DIAW</t>
  </si>
  <si>
    <t>833791000000032417854568</t>
  </si>
  <si>
    <t>a03402276</t>
  </si>
  <si>
    <t xml:space="preserve">DRAME MAMADOU </t>
  </si>
  <si>
    <t>1767199604111</t>
  </si>
  <si>
    <t>09J</t>
  </si>
  <si>
    <t>ESPECE</t>
  </si>
  <si>
    <t>230780453034221103170001</t>
  </si>
  <si>
    <t>OUMAIMA ATYK</t>
  </si>
  <si>
    <t>NORLICH NADA NKOUNKOU</t>
  </si>
  <si>
    <t>3J CONGE</t>
  </si>
  <si>
    <t>PERIODE DESSAI</t>
  </si>
  <si>
    <t>01J + 6 CONGER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</si>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</sst>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DH&quot;_-;\-* #,##0.00\ &quot;DH&quot;_-;_-* &quot;-&quot;??\ &quot;DH&quot;_-;_-@_-"/>
    <numFmt numFmtId="43" formatCode="_-* #,##0.00_-;\-* #,##0.00_-;_-* &quot;-&quot;??_-;_-@_-"/>
    <numFmt numFmtId="164" formatCode="#,##0.00\ &quot;DH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2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000000"/>
      <name val="Cambria"/>
      <family val="1"/>
    </font>
    <font>
      <b/>
      <sz val="14"/>
      <color theme="4" tint="-0.499984740745262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6"/>
      <color theme="1" tint="4.9989318521683403E-2"/>
      <name val="Bodoni MT"/>
      <family val="1"/>
    </font>
    <font>
      <b/>
      <sz val="14"/>
      <color theme="1" tint="4.9989318521683403E-2"/>
      <name val="Bodoni MT"/>
      <family val="1"/>
    </font>
  </fonts>
  <fills count="1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9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8">
    <xf numFmtId="0" fontId="0" fillId="0" borderId="0" xfId="0"/>
    <xf numFmtId="164" fontId="0" fillId="0" borderId="0" xfId="0" applyNumberFormat="1"/>
    <xf numFmtId="0" fontId="2" fillId="0" borderId="0" xfId="0" applyFont="1"/>
    <xf numFmtId="49" fontId="2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5" xfId="0" applyFill="1" applyBorder="1"/>
    <xf numFmtId="164" fontId="5" fillId="3" borderId="5" xfId="0" applyNumberFormat="1" applyFon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left" vertical="top"/>
    </xf>
    <xf numFmtId="164" fontId="0" fillId="6" borderId="7" xfId="0" applyNumberFormat="1" applyFill="1" applyBorder="1" applyAlignment="1">
      <alignment horizontal="left" vertical="top"/>
    </xf>
    <xf numFmtId="49" fontId="6" fillId="3" borderId="7" xfId="2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9" xfId="0" applyFill="1" applyBorder="1"/>
    <xf numFmtId="164" fontId="5" fillId="3" borderId="9" xfId="0" applyNumberFormat="1" applyFont="1" applyFill="1" applyBorder="1" applyAlignment="1">
      <alignment horizontal="center" vertical="center"/>
    </xf>
    <xf numFmtId="164" fontId="0" fillId="5" borderId="9" xfId="0" applyNumberFormat="1" applyFill="1" applyBorder="1" applyAlignment="1">
      <alignment horizontal="left" vertical="top"/>
    </xf>
    <xf numFmtId="164" fontId="0" fillId="6" borderId="9" xfId="0" applyNumberFormat="1" applyFill="1" applyBorder="1" applyAlignment="1">
      <alignment horizontal="left" vertical="top"/>
    </xf>
    <xf numFmtId="49" fontId="6" fillId="3" borderId="9" xfId="1" applyNumberFormat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64" fontId="7" fillId="8" borderId="9" xfId="0" applyNumberFormat="1" applyFont="1" applyFill="1" applyBorder="1" applyAlignment="1">
      <alignment horizontal="center" vertical="center"/>
    </xf>
    <xf numFmtId="164" fontId="0" fillId="7" borderId="9" xfId="0" applyNumberFormat="1" applyFill="1" applyBorder="1" applyAlignment="1">
      <alignment horizontal="left" vertical="top"/>
    </xf>
    <xf numFmtId="49" fontId="2" fillId="7" borderId="9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49" fontId="6" fillId="7" borderId="9" xfId="0" applyNumberFormat="1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center" vertical="center" wrapText="1"/>
    </xf>
    <xf numFmtId="49" fontId="0" fillId="3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4" fontId="7" fillId="8" borderId="11" xfId="0" applyNumberFormat="1" applyFont="1" applyFill="1" applyBorder="1" applyAlignment="1">
      <alignment horizontal="center" vertical="center"/>
    </xf>
    <xf numFmtId="164" fontId="0" fillId="7" borderId="11" xfId="0" applyNumberFormat="1" applyFill="1" applyBorder="1" applyAlignment="1">
      <alignment horizontal="left" vertical="top"/>
    </xf>
    <xf numFmtId="49" fontId="6" fillId="7" borderId="11" xfId="0" applyNumberFormat="1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3" borderId="6" xfId="0" applyFill="1" applyBorder="1"/>
    <xf numFmtId="164" fontId="5" fillId="3" borderId="6" xfId="0" applyNumberFormat="1" applyFont="1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left" vertical="top"/>
    </xf>
    <xf numFmtId="164" fontId="0" fillId="6" borderId="6" xfId="0" applyNumberFormat="1" applyFill="1" applyBorder="1" applyAlignment="1">
      <alignment horizontal="left" vertical="top"/>
    </xf>
    <xf numFmtId="49" fontId="6" fillId="3" borderId="6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4" fontId="9" fillId="5" borderId="10" xfId="0" applyNumberFormat="1" applyFont="1" applyFill="1" applyBorder="1" applyAlignment="1">
      <alignment horizontal="left" vertical="top"/>
    </xf>
    <xf numFmtId="49" fontId="2" fillId="3" borderId="9" xfId="0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164" fontId="5" fillId="3" borderId="13" xfId="0" applyNumberFormat="1" applyFont="1" applyFill="1" applyBorder="1" applyAlignment="1">
      <alignment horizontal="center" vertical="center"/>
    </xf>
    <xf numFmtId="164" fontId="0" fillId="5" borderId="0" xfId="0" applyNumberFormat="1" applyFill="1" applyAlignment="1">
      <alignment horizontal="left" vertical="top"/>
    </xf>
    <xf numFmtId="164" fontId="0" fillId="6" borderId="13" xfId="0" applyNumberFormat="1" applyFill="1" applyBorder="1" applyAlignment="1">
      <alignment horizontal="left" vertical="top"/>
    </xf>
    <xf numFmtId="49" fontId="6" fillId="3" borderId="13" xfId="0" applyNumberFormat="1" applyFont="1" applyFill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4" fontId="5" fillId="13" borderId="1" xfId="0" applyNumberFormat="1" applyFont="1" applyFill="1" applyBorder="1" applyAlignment="1">
      <alignment horizontal="center" vertical="center"/>
    </xf>
    <xf numFmtId="49" fontId="2" fillId="7" borderId="14" xfId="0" applyNumberFormat="1" applyFont="1" applyFill="1" applyBorder="1" applyAlignment="1">
      <alignment horizontal="center" vertical="center"/>
    </xf>
    <xf numFmtId="49" fontId="2" fillId="7" borderId="0" xfId="0" applyNumberFormat="1" applyFont="1" applyFill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 wrapText="1"/>
    </xf>
    <xf numFmtId="164" fontId="0" fillId="5" borderId="7" xfId="0" applyNumberFormat="1" applyFill="1" applyBorder="1" applyAlignment="1">
      <alignment horizontal="left" vertical="top"/>
    </xf>
    <xf numFmtId="164" fontId="0" fillId="5" borderId="13" xfId="0" applyNumberForma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0" xfId="0" applyFill="1"/>
    <xf numFmtId="0" fontId="0" fillId="3" borderId="17" xfId="0" applyFill="1" applyBorder="1"/>
    <xf numFmtId="0" fontId="0" fillId="3" borderId="19" xfId="0" applyFill="1" applyBorder="1"/>
    <xf numFmtId="0" fontId="0" fillId="3" borderId="10" xfId="0" applyFill="1" applyBorder="1"/>
    <xf numFmtId="49" fontId="2" fillId="3" borderId="8" xfId="0" applyNumberFormat="1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49" fontId="2" fillId="3" borderId="12" xfId="0" applyNumberFormat="1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49" fontId="0" fillId="3" borderId="12" xfId="0" applyNumberForma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0" fontId="0" fillId="3" borderId="8" xfId="0" applyFill="1" applyBorder="1"/>
    <xf numFmtId="49" fontId="6" fillId="3" borderId="11" xfId="1" applyNumberFormat="1" applyFont="1" applyFill="1" applyBorder="1" applyAlignment="1">
      <alignment horizontal="center" vertical="center"/>
    </xf>
    <xf numFmtId="0" fontId="0" fillId="3" borderId="23" xfId="0" applyFill="1" applyBorder="1"/>
    <xf numFmtId="0" fontId="10" fillId="4" borderId="5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/>
    </xf>
    <xf numFmtId="0" fontId="10" fillId="12" borderId="11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/>
    </xf>
    <xf numFmtId="0" fontId="0" fillId="14" borderId="5" xfId="0" applyFill="1" applyBorder="1"/>
    <xf numFmtId="164" fontId="5" fillId="14" borderId="9" xfId="0" applyNumberFormat="1" applyFont="1" applyFill="1" applyBorder="1" applyAlignment="1">
      <alignment horizontal="center" vertical="center"/>
    </xf>
    <xf numFmtId="164" fontId="0" fillId="14" borderId="5" xfId="0" applyNumberFormat="1" applyFill="1" applyBorder="1" applyAlignment="1">
      <alignment horizontal="left" vertical="top"/>
    </xf>
    <xf numFmtId="49" fontId="6" fillId="14" borderId="5" xfId="0" applyNumberFormat="1" applyFont="1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49" fontId="6" fillId="14" borderId="5" xfId="0" applyNumberFormat="1" applyFont="1" applyFill="1" applyBorder="1" applyAlignment="1">
      <alignment horizontal="center" vertical="center" wrapText="1"/>
    </xf>
    <xf numFmtId="0" fontId="10" fillId="14" borderId="9" xfId="0" applyFont="1" applyFill="1" applyBorder="1" applyAlignment="1">
      <alignment horizontal="center" vertical="center"/>
    </xf>
    <xf numFmtId="0" fontId="0" fillId="14" borderId="17" xfId="0" applyFill="1" applyBorder="1"/>
    <xf numFmtId="0" fontId="0" fillId="14" borderId="11" xfId="0" applyFill="1" applyBorder="1"/>
    <xf numFmtId="164" fontId="0" fillId="14" borderId="10" xfId="0" applyNumberFormat="1" applyFill="1" applyBorder="1" applyAlignment="1">
      <alignment horizontal="left" vertical="top"/>
    </xf>
    <xf numFmtId="49" fontId="6" fillId="14" borderId="9" xfId="0" applyNumberFormat="1" applyFont="1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10" fillId="14" borderId="11" xfId="0" applyFont="1" applyFill="1" applyBorder="1" applyAlignment="1">
      <alignment horizontal="center" vertical="center"/>
    </xf>
    <xf numFmtId="0" fontId="0" fillId="14" borderId="17" xfId="0" applyFill="1" applyBorder="1" applyAlignment="1">
      <alignment horizontal="left"/>
    </xf>
    <xf numFmtId="164" fontId="5" fillId="14" borderId="11" xfId="0" applyNumberFormat="1" applyFont="1" applyFill="1" applyBorder="1" applyAlignment="1">
      <alignment horizontal="center" vertical="center"/>
    </xf>
    <xf numFmtId="164" fontId="9" fillId="14" borderId="10" xfId="0" applyNumberFormat="1" applyFont="1" applyFill="1" applyBorder="1" applyAlignment="1">
      <alignment horizontal="left" vertical="top"/>
    </xf>
    <xf numFmtId="49" fontId="2" fillId="14" borderId="10" xfId="0" applyNumberFormat="1" applyFont="1" applyFill="1" applyBorder="1" applyAlignment="1">
      <alignment horizontal="center" vertical="center"/>
    </xf>
    <xf numFmtId="0" fontId="0" fillId="14" borderId="9" xfId="0" applyFill="1" applyBorder="1"/>
    <xf numFmtId="164" fontId="5" fillId="14" borderId="17" xfId="0" applyNumberFormat="1" applyFont="1" applyFill="1" applyBorder="1" applyAlignment="1">
      <alignment horizontal="center" vertical="center"/>
    </xf>
    <xf numFmtId="164" fontId="0" fillId="14" borderId="0" xfId="0" applyNumberFormat="1" applyFill="1" applyAlignment="1">
      <alignment horizontal="left" vertical="top"/>
    </xf>
    <xf numFmtId="0" fontId="0" fillId="14" borderId="10" xfId="0" applyFill="1" applyBorder="1" applyAlignment="1">
      <alignment horizontal="center" vertical="center"/>
    </xf>
    <xf numFmtId="164" fontId="6" fillId="14" borderId="5" xfId="0" applyNumberFormat="1" applyFont="1" applyFill="1" applyBorder="1" applyAlignment="1">
      <alignment horizontal="left" vertical="top"/>
    </xf>
    <xf numFmtId="164" fontId="6" fillId="14" borderId="16" xfId="0" applyNumberFormat="1" applyFont="1" applyFill="1" applyBorder="1" applyAlignment="1">
      <alignment horizontal="left" vertical="top"/>
    </xf>
    <xf numFmtId="164" fontId="6" fillId="14" borderId="14" xfId="0" applyNumberFormat="1" applyFont="1" applyFill="1" applyBorder="1" applyAlignment="1">
      <alignment horizontal="left" vertical="top"/>
    </xf>
    <xf numFmtId="164" fontId="6" fillId="13" borderId="7" xfId="0" applyNumberFormat="1" applyFont="1" applyFill="1" applyBorder="1" applyAlignment="1">
      <alignment horizontal="left" vertical="top"/>
    </xf>
    <xf numFmtId="164" fontId="6" fillId="13" borderId="11" xfId="0" applyNumberFormat="1" applyFont="1" applyFill="1" applyBorder="1" applyAlignment="1">
      <alignment horizontal="left" vertical="top"/>
    </xf>
    <xf numFmtId="164" fontId="6" fillId="13" borderId="5" xfId="0" applyNumberFormat="1" applyFont="1" applyFill="1" applyBorder="1" applyAlignment="1">
      <alignment horizontal="left" vertical="top"/>
    </xf>
    <xf numFmtId="164" fontId="6" fillId="13" borderId="9" xfId="0" applyNumberFormat="1" applyFont="1" applyFill="1" applyBorder="1" applyAlignment="1">
      <alignment horizontal="left" vertical="top"/>
    </xf>
    <xf numFmtId="164" fontId="6" fillId="13" borderId="18" xfId="0" applyNumberFormat="1" applyFont="1" applyFill="1" applyBorder="1" applyAlignment="1">
      <alignment horizontal="left" vertical="top"/>
    </xf>
    <xf numFmtId="164" fontId="6" fillId="13" borderId="16" xfId="0" applyNumberFormat="1" applyFont="1" applyFill="1" applyBorder="1" applyAlignment="1">
      <alignment horizontal="left" vertical="top"/>
    </xf>
    <xf numFmtId="164" fontId="5" fillId="3" borderId="15" xfId="0" applyNumberFormat="1" applyFont="1" applyFill="1" applyBorder="1" applyAlignment="1">
      <alignment horizontal="center" vertical="center"/>
    </xf>
    <xf numFmtId="164" fontId="6" fillId="13" borderId="14" xfId="0" applyNumberFormat="1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24" xfId="0" applyBorder="1"/>
    <xf numFmtId="0" fontId="0" fillId="8" borderId="26" xfId="0" applyFill="1" applyBorder="1" applyAlignment="1">
      <alignment horizontal="center" vertical="center"/>
    </xf>
    <xf numFmtId="164" fontId="0" fillId="8" borderId="26" xfId="0" applyNumberFormat="1" applyFill="1" applyBorder="1" applyAlignment="1">
      <alignment horizontal="center" vertical="center"/>
    </xf>
    <xf numFmtId="164" fontId="0" fillId="8" borderId="27" xfId="0" applyNumberFormat="1" applyFill="1" applyBorder="1" applyAlignment="1">
      <alignment horizontal="center" vertical="center"/>
    </xf>
    <xf numFmtId="164" fontId="14" fillId="13" borderId="27" xfId="0" applyNumberFormat="1" applyFont="1" applyFill="1" applyBorder="1" applyAlignment="1">
      <alignment horizontal="center" vertical="center"/>
    </xf>
    <xf numFmtId="164" fontId="14" fillId="13" borderId="28" xfId="0" applyNumberFormat="1" applyFont="1" applyFill="1" applyBorder="1" applyAlignment="1">
      <alignment horizontal="center" vertical="center"/>
    </xf>
    <xf numFmtId="164" fontId="14" fillId="13" borderId="29" xfId="0" applyNumberFormat="1" applyFont="1" applyFill="1" applyBorder="1" applyAlignment="1">
      <alignment horizontal="center" vertical="center"/>
    </xf>
    <xf numFmtId="49" fontId="2" fillId="8" borderId="30" xfId="0" applyNumberFormat="1" applyFont="1" applyFill="1" applyBorder="1" applyAlignment="1">
      <alignment horizontal="center" vertical="center"/>
    </xf>
    <xf numFmtId="49" fontId="2" fillId="8" borderId="31" xfId="0" applyNumberFormat="1" applyFont="1" applyFill="1" applyBorder="1" applyAlignment="1">
      <alignment horizontal="center" vertical="center"/>
    </xf>
    <xf numFmtId="164" fontId="13" fillId="13" borderId="32" xfId="0" applyNumberFormat="1" applyFont="1" applyFill="1" applyBorder="1" applyAlignment="1">
      <alignment horizontal="center" vertical="center"/>
    </xf>
    <xf numFmtId="164" fontId="0" fillId="14" borderId="38" xfId="0" applyNumberFormat="1" applyFill="1" applyBorder="1" applyAlignment="1">
      <alignment horizontal="left" vertical="top"/>
    </xf>
    <xf numFmtId="164" fontId="0" fillId="14" borderId="39" xfId="0" applyNumberFormat="1" applyFill="1" applyBorder="1" applyAlignment="1">
      <alignment horizontal="left" vertical="top"/>
    </xf>
    <xf numFmtId="164" fontId="0" fillId="14" borderId="40" xfId="0" applyNumberFormat="1" applyFill="1" applyBorder="1" applyAlignment="1">
      <alignment horizontal="left" vertical="top"/>
    </xf>
    <xf numFmtId="0" fontId="15" fillId="2" borderId="13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164" fontId="15" fillId="2" borderId="13" xfId="0" applyNumberFormat="1" applyFont="1" applyFill="1" applyBorder="1" applyAlignment="1">
      <alignment horizontal="center" vertical="center"/>
    </xf>
    <xf numFmtId="164" fontId="15" fillId="2" borderId="22" xfId="0" applyNumberFormat="1" applyFont="1" applyFill="1" applyBorder="1" applyAlignment="1">
      <alignment horizontal="center" vertical="center" wrapText="1"/>
    </xf>
    <xf numFmtId="49" fontId="15" fillId="2" borderId="13" xfId="0" applyNumberFormat="1" applyFont="1" applyFill="1" applyBorder="1" applyAlignment="1">
      <alignment horizontal="center" vertical="center"/>
    </xf>
    <xf numFmtId="164" fontId="15" fillId="2" borderId="43" xfId="0" applyNumberFormat="1" applyFont="1" applyFill="1" applyBorder="1" applyAlignment="1">
      <alignment horizontal="center" vertical="center" wrapText="1"/>
    </xf>
    <xf numFmtId="0" fontId="0" fillId="0" borderId="42" xfId="0" applyBorder="1"/>
    <xf numFmtId="164" fontId="0" fillId="0" borderId="42" xfId="0" applyNumberFormat="1" applyBorder="1"/>
    <xf numFmtId="0" fontId="2" fillId="0" borderId="42" xfId="0" applyFont="1" applyBorder="1"/>
    <xf numFmtId="49" fontId="2" fillId="0" borderId="42" xfId="0" applyNumberFormat="1" applyFont="1" applyBorder="1" applyAlignment="1">
      <alignment horizontal="left" vertical="top"/>
    </xf>
    <xf numFmtId="0" fontId="15" fillId="2" borderId="21" xfId="0" applyFont="1" applyFill="1" applyBorder="1" applyAlignment="1">
      <alignment horizontal="center" vertical="center"/>
    </xf>
    <xf numFmtId="0" fontId="11" fillId="13" borderId="20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13" borderId="17" xfId="0" applyFont="1" applyFill="1" applyBorder="1" applyAlignment="1">
      <alignment horizontal="center" vertical="center"/>
    </xf>
    <xf numFmtId="0" fontId="11" fillId="14" borderId="20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2" fillId="13" borderId="20" xfId="0" applyFont="1" applyFill="1" applyBorder="1" applyAlignment="1">
      <alignment horizontal="center" vertical="center"/>
    </xf>
    <xf numFmtId="0" fontId="12" fillId="13" borderId="19" xfId="0" applyFont="1" applyFill="1" applyBorder="1" applyAlignment="1">
      <alignment horizontal="center" vertical="center"/>
    </xf>
    <xf numFmtId="0" fontId="11" fillId="14" borderId="17" xfId="0" applyFont="1" applyFill="1" applyBorder="1" applyAlignment="1">
      <alignment horizontal="center" vertical="center"/>
    </xf>
    <xf numFmtId="0" fontId="11" fillId="14" borderId="19" xfId="0" applyFont="1" applyFill="1" applyBorder="1" applyAlignment="1">
      <alignment horizontal="center" vertical="center"/>
    </xf>
    <xf numFmtId="0" fontId="11" fillId="13" borderId="23" xfId="0" applyFont="1" applyFill="1" applyBorder="1" applyAlignment="1">
      <alignment horizontal="center" vertical="center"/>
    </xf>
    <xf numFmtId="0" fontId="0" fillId="8" borderId="26" xfId="0" applyFill="1" applyBorder="1"/>
    <xf numFmtId="0" fontId="4" fillId="0" borderId="37" xfId="0" applyFont="1" applyBorder="1" applyAlignment="1">
      <alignment horizontal="center" vertical="center"/>
    </xf>
    <xf numFmtId="0" fontId="0" fillId="0" borderId="37" xfId="0" applyBorder="1"/>
    <xf numFmtId="0" fontId="0" fillId="15" borderId="3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18" borderId="0" xfId="0" applyNumberFormat="1" applyFill="1" applyAlignment="1">
      <alignment horizontal="left" vertical="top"/>
    </xf>
    <xf numFmtId="164" fontId="6" fillId="18" borderId="0" xfId="0" applyNumberFormat="1" applyFont="1" applyFill="1" applyAlignment="1">
      <alignment horizontal="left" vertical="top"/>
    </xf>
    <xf numFmtId="49" fontId="6" fillId="18" borderId="0" xfId="0" applyNumberFormat="1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164" fontId="0" fillId="18" borderId="37" xfId="0" applyNumberFormat="1" applyFill="1" applyBorder="1" applyAlignment="1">
      <alignment horizontal="left" vertical="top"/>
    </xf>
    <xf numFmtId="0" fontId="11" fillId="18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49" fontId="2" fillId="18" borderId="0" xfId="0" applyNumberFormat="1" applyFont="1" applyFill="1" applyAlignment="1">
      <alignment horizontal="center" vertical="center"/>
    </xf>
    <xf numFmtId="164" fontId="7" fillId="7" borderId="10" xfId="0" applyNumberFormat="1" applyFont="1" applyFill="1" applyBorder="1" applyAlignment="1">
      <alignment horizontal="center" vertical="center"/>
    </xf>
    <xf numFmtId="164" fontId="7" fillId="7" borderId="12" xfId="0" applyNumberFormat="1" applyFont="1" applyFill="1" applyBorder="1" applyAlignment="1">
      <alignment horizontal="center" vertical="center"/>
    </xf>
    <xf numFmtId="164" fontId="0" fillId="12" borderId="35" xfId="0" applyNumberFormat="1" applyFill="1" applyBorder="1" applyAlignment="1">
      <alignment horizontal="left" vertical="top"/>
    </xf>
    <xf numFmtId="164" fontId="0" fillId="12" borderId="36" xfId="0" applyNumberFormat="1" applyFill="1" applyBorder="1" applyAlignment="1">
      <alignment horizontal="left" vertical="top"/>
    </xf>
    <xf numFmtId="164" fontId="0" fillId="12" borderId="38" xfId="0" applyNumberFormat="1" applyFill="1" applyBorder="1" applyAlignment="1">
      <alignment horizontal="left" vertical="top"/>
    </xf>
    <xf numFmtId="164" fontId="0" fillId="12" borderId="39" xfId="0" applyNumberFormat="1" applyFill="1" applyBorder="1" applyAlignment="1">
      <alignment horizontal="left" vertical="top"/>
    </xf>
    <xf numFmtId="164" fontId="0" fillId="12" borderId="6" xfId="0" applyNumberFormat="1" applyFill="1" applyBorder="1" applyAlignment="1">
      <alignment horizontal="left" vertical="top"/>
    </xf>
    <xf numFmtId="164" fontId="0" fillId="12" borderId="11" xfId="0" applyNumberFormat="1" applyFill="1" applyBorder="1" applyAlignment="1">
      <alignment horizontal="left" vertical="top"/>
    </xf>
    <xf numFmtId="164" fontId="0" fillId="12" borderId="5" xfId="0" applyNumberFormat="1" applyFill="1" applyBorder="1" applyAlignment="1">
      <alignment horizontal="left" vertical="top"/>
    </xf>
    <xf numFmtId="164" fontId="0" fillId="12" borderId="9" xfId="0" applyNumberFormat="1" applyFill="1" applyBorder="1" applyAlignment="1">
      <alignment horizontal="left" vertical="top"/>
    </xf>
    <xf numFmtId="164" fontId="0" fillId="12" borderId="8" xfId="0" applyNumberFormat="1" applyFill="1" applyBorder="1" applyAlignment="1">
      <alignment horizontal="left" vertical="top"/>
    </xf>
    <xf numFmtId="164" fontId="0" fillId="12" borderId="10" xfId="0" applyNumberFormat="1" applyFill="1" applyBorder="1" applyAlignment="1">
      <alignment horizontal="left" vertical="top"/>
    </xf>
    <xf numFmtId="164" fontId="9" fillId="12" borderId="9" xfId="0" applyNumberFormat="1" applyFont="1" applyFill="1" applyBorder="1" applyAlignment="1">
      <alignment horizontal="left" vertical="top"/>
    </xf>
    <xf numFmtId="164" fontId="9" fillId="12" borderId="10" xfId="0" applyNumberFormat="1" applyFont="1" applyFill="1" applyBorder="1" applyAlignment="1">
      <alignment horizontal="left" vertical="top"/>
    </xf>
    <xf numFmtId="164" fontId="9" fillId="12" borderId="12" xfId="0" applyNumberFormat="1" applyFont="1" applyFill="1" applyBorder="1" applyAlignment="1">
      <alignment horizontal="left" vertical="top"/>
    </xf>
    <xf numFmtId="164" fontId="0" fillId="12" borderId="41" xfId="0" applyNumberFormat="1" applyFill="1" applyBorder="1" applyAlignment="1">
      <alignment horizontal="left" vertical="top"/>
    </xf>
    <xf numFmtId="0" fontId="0" fillId="14" borderId="10" xfId="0" applyFill="1" applyBorder="1"/>
    <xf numFmtId="164" fontId="6" fillId="14" borderId="9" xfId="0" applyNumberFormat="1" applyFont="1" applyFill="1" applyBorder="1" applyAlignment="1">
      <alignment horizontal="left" vertical="top"/>
    </xf>
    <xf numFmtId="49" fontId="2" fillId="14" borderId="12" xfId="0" applyNumberFormat="1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center"/>
    </xf>
    <xf numFmtId="0" fontId="0" fillId="17" borderId="33" xfId="0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</cellXfs>
  <cellStyles count="3">
    <cellStyle name="Milliers" xfId="1" builtinId="3"/>
    <cellStyle name="Monétaire" xfId="2" builtinId="4"/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color theme="4" tint="-0.499984740745262"/>
      </font>
      <numFmt numFmtId="164" formatCode="#,##0.00\ &quot;DH&quot;"/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164" formatCode="#,##0.00\ &quot;DH&quot;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 tint="4.9989318521683403E-2"/>
        <name val="Bodoni MT"/>
        <family val="1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color theme="4" tint="-0.499984740745262"/>
      </font>
      <numFmt numFmtId="164" formatCode="#,##0.00\ &quot;DH&quot;"/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164" formatCode="#,##0.00\ &quot;DH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C55425-1123-4EC2-96F6-1BF061549104}" name="Tableau14" displayName="Tableau14" ref="B3:I37" totalsRowShown="0" headerRowDxfId="18" headerRowBorderDxfId="17">
  <autoFilter ref="B3:I37" xr:uid="{BDC55425-1123-4EC2-96F6-1BF061549104}"/>
  <tableColumns count="8">
    <tableColumn id="2" xr3:uid="{67E6999A-FC22-484B-910C-CC3DF9B8DFFB}" name="Nom Et Prénom" dataDxfId="16"/>
    <tableColumn id="3" xr3:uid="{77ED6246-6D68-4080-AB30-C90A9C12F759}" name="Fonction" dataDxfId="15"/>
    <tableColumn id="9" xr3:uid="{8FFB5E82-5474-45D0-AC50-06E82FE89FB7}" name="Nombre de jour travaillé" dataDxfId="14"/>
    <tableColumn id="4" xr3:uid="{BE574A4E-1E93-44E3-B0A1-D8588E8EE812}" name="Salaire" dataDxfId="13"/>
    <tableColumn id="8" xr3:uid="{B7B3C375-1D3A-45AF-ABD4-E454095137EE}" name="AVANCE" dataDxfId="12"/>
    <tableColumn id="10" xr3:uid="{99122268-A3E7-4046-9E1F-64698DFEE8C4}" name="Salaire à payer"/>
    <tableColumn id="6" xr3:uid="{3986BCFF-855F-4C3C-B63E-2B0E4B8B31E5}" name="Rib Banquer" dataDxfId="11"/>
    <tableColumn id="5" xr3:uid="{0664536B-68BD-4F04-92E1-C8FAC75330D5}" name="Numéro D'identité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DA05FD-6D94-4C25-AAAC-4E245400E099}" name="Tableau144" displayName="Tableau144" ref="B3:J40" totalsRowShown="0" headerRowDxfId="9" headerRowBorderDxfId="8">
  <autoFilter ref="B3:J40" xr:uid="{90DA05FD-6D94-4C25-AAAC-4E245400E099}"/>
  <tableColumns count="9">
    <tableColumn id="2" xr3:uid="{5BBDD1D7-C9BC-4C95-B8D3-DF0174A03A50}" name="NOM ET PRENOM" dataDxfId="7"/>
    <tableColumn id="3" xr3:uid="{52422D39-F8F2-40ED-8122-FC28D134B9EE}" name="FONCTION" dataDxfId="6"/>
    <tableColumn id="9" xr3:uid="{61A32FEA-98FA-4769-BF8A-EFCB19AFE8FC}" name="N° DE JOURS TRAVAILLER" dataDxfId="5"/>
    <tableColumn id="7" xr3:uid="{CFA51F2C-9E93-4403-93C5-83D9EBE6E3E0}" name="N° DE JOURS FERIERS" dataDxfId="4"/>
    <tableColumn id="4" xr3:uid="{5BEC21B4-7A45-44FB-9A96-CFFB516718E9}" name="SALAIRE" dataDxfId="3"/>
    <tableColumn id="8" xr3:uid="{451C2C7C-1F3C-4840-A5D1-724A23434733}" name="AVANCE" dataDxfId="2"/>
    <tableColumn id="10" xr3:uid="{AC8BD4C4-1C22-48E4-B328-210AB7E392CE}" name="SALAIRE A PAYER"/>
    <tableColumn id="6" xr3:uid="{54699E53-B570-412E-862E-2BD67A6FFE87}" name="RIB BANQUER" dataDxfId="1"/>
    <tableColumn id="5" xr3:uid="{76F21D0D-36BB-4037-96FD-29EA2DDBCE0D}" name="N° D'IDENTI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7"/>
  <sheetViews>
    <sheetView workbookViewId="0">
      <selection activeCell="G6" sqref="G6"/>
    </sheetView>
  </sheetViews>
  <sheetFormatPr baseColWidth="10" defaultRowHeight="14.4" x14ac:dyDescent="0.3"/>
  <cols>
    <col min="2" max="2" width="23.109375" customWidth="1"/>
    <col min="3" max="3" width="16.33203125" customWidth="1"/>
    <col min="4" max="4" width="14.5546875" style="1" customWidth="1"/>
    <col min="5" max="5" width="21.5546875" style="2" customWidth="1"/>
    <col min="6" max="7" width="13.77734375" style="3" customWidth="1"/>
    <col min="8" max="8" width="34.44140625" customWidth="1"/>
    <col min="9" max="9" width="27.77734375" style="1" customWidth="1"/>
    <col min="10" max="10" width="13.77734375" style="3" customWidth="1"/>
  </cols>
  <sheetData>
    <row r="2" spans="2:10" ht="15" thickBot="1" x14ac:dyDescent="0.35"/>
    <row r="3" spans="2:10" s="10" customFormat="1" ht="61.2" customHeight="1" thickBot="1" x14ac:dyDescent="0.35">
      <c r="B3" s="4" t="s">
        <v>0</v>
      </c>
      <c r="C3" s="4" t="s">
        <v>1</v>
      </c>
      <c r="D3" s="5" t="s">
        <v>2</v>
      </c>
      <c r="E3" s="6" t="s">
        <v>3</v>
      </c>
      <c r="F3" s="6" t="s">
        <v>4</v>
      </c>
      <c r="G3" s="7" t="s">
        <v>5</v>
      </c>
      <c r="H3" s="8" t="s">
        <v>6</v>
      </c>
      <c r="I3" s="9" t="s">
        <v>7</v>
      </c>
      <c r="J3" s="69" t="s">
        <v>89</v>
      </c>
    </row>
    <row r="4" spans="2:10" ht="19.05" customHeight="1" x14ac:dyDescent="0.3">
      <c r="B4" s="11" t="s">
        <v>8</v>
      </c>
      <c r="C4" s="12" t="s">
        <v>9</v>
      </c>
      <c r="D4" s="13" t="s">
        <v>10</v>
      </c>
      <c r="E4" s="14">
        <v>7000</v>
      </c>
      <c r="F4" s="15">
        <v>2000</v>
      </c>
      <c r="G4" s="16">
        <v>5000</v>
      </c>
      <c r="H4" s="17" t="s">
        <v>11</v>
      </c>
      <c r="I4" s="18" t="s">
        <v>12</v>
      </c>
      <c r="J4" s="70"/>
    </row>
    <row r="5" spans="2:10" ht="19.05" customHeight="1" x14ac:dyDescent="0.3">
      <c r="B5" s="20" t="s">
        <v>13</v>
      </c>
      <c r="C5" s="21" t="s">
        <v>14</v>
      </c>
      <c r="D5" s="22" t="s">
        <v>10</v>
      </c>
      <c r="E5" s="23">
        <v>4500</v>
      </c>
      <c r="F5" s="24">
        <v>500</v>
      </c>
      <c r="G5" s="25">
        <v>4000</v>
      </c>
      <c r="H5" s="26" t="s">
        <v>15</v>
      </c>
      <c r="I5" s="27" t="s">
        <v>16</v>
      </c>
      <c r="J5" s="24"/>
    </row>
    <row r="6" spans="2:10" ht="19.95" customHeight="1" x14ac:dyDescent="0.3">
      <c r="B6" s="28"/>
      <c r="C6" s="28"/>
      <c r="D6" s="28"/>
      <c r="E6" s="29" t="s">
        <v>17</v>
      </c>
      <c r="F6" s="30"/>
      <c r="G6" s="30"/>
      <c r="H6" s="31"/>
      <c r="I6" s="32"/>
      <c r="J6" s="30"/>
    </row>
    <row r="7" spans="2:10" ht="19.05" customHeight="1" x14ac:dyDescent="0.3">
      <c r="B7" s="20" t="s">
        <v>18</v>
      </c>
      <c r="C7" s="33" t="s">
        <v>19</v>
      </c>
      <c r="D7" s="22" t="s">
        <v>10</v>
      </c>
      <c r="E7" s="23">
        <v>6000</v>
      </c>
      <c r="F7" s="24">
        <v>500</v>
      </c>
      <c r="G7" s="25">
        <v>5500</v>
      </c>
      <c r="H7" s="34" t="s">
        <v>87</v>
      </c>
      <c r="I7" s="27" t="s">
        <v>20</v>
      </c>
      <c r="J7" s="24"/>
    </row>
    <row r="8" spans="2:10" ht="19.05" customHeight="1" x14ac:dyDescent="0.3">
      <c r="B8" s="20" t="s">
        <v>21</v>
      </c>
      <c r="C8" s="33" t="s">
        <v>17</v>
      </c>
      <c r="D8" s="22" t="s">
        <v>10</v>
      </c>
      <c r="E8" s="23">
        <v>4000</v>
      </c>
      <c r="F8" s="24"/>
      <c r="G8" s="25">
        <v>4000</v>
      </c>
      <c r="H8" s="34" t="s">
        <v>22</v>
      </c>
      <c r="I8" s="27" t="s">
        <v>23</v>
      </c>
      <c r="J8" s="24"/>
    </row>
    <row r="9" spans="2:10" ht="19.05" customHeight="1" x14ac:dyDescent="0.3">
      <c r="B9" s="20" t="s">
        <v>24</v>
      </c>
      <c r="C9" s="33" t="s">
        <v>17</v>
      </c>
      <c r="D9" s="22" t="s">
        <v>10</v>
      </c>
      <c r="E9" s="23">
        <v>4000</v>
      </c>
      <c r="F9" s="24"/>
      <c r="G9" s="25">
        <v>4000</v>
      </c>
      <c r="H9" s="34" t="s">
        <v>25</v>
      </c>
      <c r="I9" s="27" t="s">
        <v>26</v>
      </c>
      <c r="J9" s="24"/>
    </row>
    <row r="10" spans="2:10" ht="19.05" customHeight="1" x14ac:dyDescent="0.3">
      <c r="B10" s="20" t="s">
        <v>27</v>
      </c>
      <c r="C10" s="33" t="s">
        <v>17</v>
      </c>
      <c r="D10" s="22" t="s">
        <v>10</v>
      </c>
      <c r="E10" s="23">
        <v>5000</v>
      </c>
      <c r="F10" s="24"/>
      <c r="G10" s="25">
        <v>5000</v>
      </c>
      <c r="H10" s="34" t="s">
        <v>28</v>
      </c>
      <c r="I10" s="27" t="s">
        <v>29</v>
      </c>
      <c r="J10" s="24"/>
    </row>
    <row r="11" spans="2:10" ht="19.05" customHeight="1" x14ac:dyDescent="0.3">
      <c r="B11" s="20" t="s">
        <v>30</v>
      </c>
      <c r="C11" s="33" t="s">
        <v>17</v>
      </c>
      <c r="D11" s="22" t="s">
        <v>10</v>
      </c>
      <c r="E11" s="23">
        <v>4000</v>
      </c>
      <c r="F11" s="24"/>
      <c r="G11" s="25">
        <v>4000</v>
      </c>
      <c r="H11" s="34" t="s">
        <v>31</v>
      </c>
      <c r="I11" s="27" t="s">
        <v>32</v>
      </c>
      <c r="J11" s="24"/>
    </row>
    <row r="12" spans="2:10" ht="19.05" customHeight="1" x14ac:dyDescent="0.3">
      <c r="B12" s="20" t="s">
        <v>33</v>
      </c>
      <c r="C12" s="33" t="s">
        <v>17</v>
      </c>
      <c r="D12" s="22" t="s">
        <v>91</v>
      </c>
      <c r="E12" s="23">
        <v>3500</v>
      </c>
      <c r="F12" s="24"/>
      <c r="G12" s="25">
        <v>3800</v>
      </c>
      <c r="H12" s="34" t="s">
        <v>34</v>
      </c>
      <c r="I12" s="27" t="s">
        <v>35</v>
      </c>
      <c r="J12" s="24"/>
    </row>
    <row r="13" spans="2:10" ht="19.05" customHeight="1" x14ac:dyDescent="0.3">
      <c r="B13" s="20" t="s">
        <v>36</v>
      </c>
      <c r="C13" s="33" t="s">
        <v>17</v>
      </c>
      <c r="D13" s="22" t="s">
        <v>92</v>
      </c>
      <c r="E13" s="23">
        <v>5000</v>
      </c>
      <c r="F13" s="24"/>
      <c r="G13" s="25">
        <v>4800</v>
      </c>
      <c r="H13" s="34" t="s">
        <v>38</v>
      </c>
      <c r="I13" s="27" t="s">
        <v>39</v>
      </c>
      <c r="J13" s="24"/>
    </row>
    <row r="14" spans="2:10" ht="19.05" customHeight="1" x14ac:dyDescent="0.3">
      <c r="B14" s="20" t="s">
        <v>40</v>
      </c>
      <c r="C14" s="33" t="s">
        <v>17</v>
      </c>
      <c r="D14" s="22" t="s">
        <v>37</v>
      </c>
      <c r="E14" s="23">
        <v>4000</v>
      </c>
      <c r="F14" s="24">
        <v>700</v>
      </c>
      <c r="G14" s="25">
        <v>2992</v>
      </c>
      <c r="H14" s="34" t="s">
        <v>88</v>
      </c>
      <c r="I14" s="27" t="s">
        <v>41</v>
      </c>
      <c r="J14" s="24"/>
    </row>
    <row r="15" spans="2:10" ht="19.95" customHeight="1" x14ac:dyDescent="0.3">
      <c r="B15" s="28"/>
      <c r="C15" s="28"/>
      <c r="D15" s="28"/>
      <c r="E15" s="29" t="s">
        <v>42</v>
      </c>
      <c r="F15" s="30"/>
      <c r="G15" s="30"/>
      <c r="H15" s="36"/>
      <c r="I15" s="32"/>
      <c r="J15" s="30"/>
    </row>
    <row r="16" spans="2:10" ht="19.05" customHeight="1" x14ac:dyDescent="0.3">
      <c r="B16" s="20" t="s">
        <v>43</v>
      </c>
      <c r="C16" s="37" t="s">
        <v>42</v>
      </c>
      <c r="D16" s="22" t="s">
        <v>10</v>
      </c>
      <c r="E16" s="23">
        <v>6500</v>
      </c>
      <c r="F16" s="24"/>
      <c r="G16" s="25">
        <v>6500</v>
      </c>
      <c r="H16" s="34" t="s">
        <v>44</v>
      </c>
      <c r="I16" s="27" t="s">
        <v>45</v>
      </c>
      <c r="J16" s="24"/>
    </row>
    <row r="17" spans="1:10" ht="19.05" customHeight="1" x14ac:dyDescent="0.3">
      <c r="A17" t="s">
        <v>46</v>
      </c>
      <c r="B17" s="20" t="s">
        <v>47</v>
      </c>
      <c r="C17" s="37" t="s">
        <v>42</v>
      </c>
      <c r="D17" s="22" t="s">
        <v>10</v>
      </c>
      <c r="E17" s="23">
        <v>4500</v>
      </c>
      <c r="F17" s="24">
        <v>500</v>
      </c>
      <c r="G17" s="25">
        <v>4000</v>
      </c>
      <c r="H17" s="34" t="s">
        <v>90</v>
      </c>
      <c r="I17" s="27" t="s">
        <v>48</v>
      </c>
      <c r="J17" s="24"/>
    </row>
    <row r="18" spans="1:10" ht="19.95" customHeight="1" x14ac:dyDescent="0.3">
      <c r="B18" s="28"/>
      <c r="C18" s="28"/>
      <c r="D18" s="28"/>
      <c r="E18" s="29" t="s">
        <v>49</v>
      </c>
      <c r="F18" s="30"/>
      <c r="G18" s="30"/>
      <c r="H18" s="36"/>
      <c r="I18" s="32"/>
      <c r="J18" s="30"/>
    </row>
    <row r="19" spans="1:10" ht="19.05" customHeight="1" x14ac:dyDescent="0.3">
      <c r="B19" s="20"/>
      <c r="C19" s="38" t="s">
        <v>50</v>
      </c>
      <c r="D19" s="22"/>
      <c r="E19" s="23"/>
      <c r="F19" s="24"/>
      <c r="G19" s="25"/>
      <c r="H19" s="34"/>
      <c r="I19" s="27"/>
      <c r="J19" s="24"/>
    </row>
    <row r="20" spans="1:10" ht="19.05" customHeight="1" x14ac:dyDescent="0.3">
      <c r="B20" s="20"/>
      <c r="C20" s="38" t="s">
        <v>50</v>
      </c>
      <c r="D20" s="22"/>
      <c r="E20" s="23"/>
      <c r="F20" s="24"/>
      <c r="G20" s="25"/>
      <c r="H20" s="34"/>
      <c r="I20" s="27"/>
      <c r="J20" s="24"/>
    </row>
    <row r="21" spans="1:10" ht="19.95" customHeight="1" x14ac:dyDescent="0.3">
      <c r="B21" s="28"/>
      <c r="C21" s="28"/>
      <c r="D21" s="28"/>
      <c r="E21" s="29" t="s">
        <v>51</v>
      </c>
      <c r="F21" s="30"/>
      <c r="G21" s="30"/>
      <c r="H21" s="36"/>
      <c r="I21" s="32"/>
      <c r="J21" s="30"/>
    </row>
    <row r="22" spans="1:10" ht="19.05" customHeight="1" x14ac:dyDescent="0.3">
      <c r="B22" s="35" t="s">
        <v>52</v>
      </c>
      <c r="C22" s="39" t="s">
        <v>53</v>
      </c>
      <c r="D22" s="22" t="s">
        <v>10</v>
      </c>
      <c r="E22" s="23">
        <v>4000</v>
      </c>
      <c r="F22" s="24">
        <v>1000</v>
      </c>
      <c r="G22" s="25">
        <v>3000</v>
      </c>
      <c r="H22" s="34" t="s">
        <v>54</v>
      </c>
      <c r="I22" s="27" t="s">
        <v>55</v>
      </c>
      <c r="J22" s="24"/>
    </row>
    <row r="23" spans="1:10" ht="19.05" customHeight="1" x14ac:dyDescent="0.3">
      <c r="B23" s="35" t="s">
        <v>56</v>
      </c>
      <c r="C23" s="39" t="s">
        <v>53</v>
      </c>
      <c r="D23" s="22" t="s">
        <v>10</v>
      </c>
      <c r="E23" s="23">
        <v>4000</v>
      </c>
      <c r="F23" s="24"/>
      <c r="G23" s="25">
        <v>4000</v>
      </c>
      <c r="H23" s="34" t="s">
        <v>57</v>
      </c>
      <c r="I23" s="27" t="s">
        <v>58</v>
      </c>
      <c r="J23" s="24"/>
    </row>
    <row r="24" spans="1:10" ht="19.95" customHeight="1" x14ac:dyDescent="0.3">
      <c r="B24" s="28"/>
      <c r="C24" s="28"/>
      <c r="D24" s="28"/>
      <c r="E24" s="29" t="s">
        <v>59</v>
      </c>
      <c r="F24" s="30"/>
      <c r="G24" s="30"/>
      <c r="H24" s="36"/>
      <c r="I24" s="32"/>
      <c r="J24" s="30"/>
    </row>
    <row r="25" spans="1:10" ht="19.05" customHeight="1" x14ac:dyDescent="0.3">
      <c r="B25" s="20" t="s">
        <v>60</v>
      </c>
      <c r="C25" s="39" t="s">
        <v>61</v>
      </c>
      <c r="D25" s="22" t="s">
        <v>10</v>
      </c>
      <c r="E25" s="23">
        <v>4000</v>
      </c>
      <c r="F25" s="24"/>
      <c r="G25" s="25">
        <v>4000</v>
      </c>
      <c r="H25" s="40" t="s">
        <v>62</v>
      </c>
      <c r="I25" s="27" t="s">
        <v>63</v>
      </c>
      <c r="J25" s="24"/>
    </row>
    <row r="26" spans="1:10" ht="19.05" customHeight="1" x14ac:dyDescent="0.3">
      <c r="B26" s="20" t="s">
        <v>64</v>
      </c>
      <c r="C26" s="39" t="s">
        <v>61</v>
      </c>
      <c r="D26" s="22" t="s">
        <v>10</v>
      </c>
      <c r="E26" s="23">
        <v>4000</v>
      </c>
      <c r="F26" s="24"/>
      <c r="G26" s="25">
        <v>4000</v>
      </c>
      <c r="H26" s="34"/>
      <c r="I26" s="27" t="s">
        <v>65</v>
      </c>
      <c r="J26" s="24"/>
    </row>
    <row r="27" spans="1:10" ht="19.05" customHeight="1" x14ac:dyDescent="0.3">
      <c r="B27" s="20" t="s">
        <v>66</v>
      </c>
      <c r="C27" s="39" t="s">
        <v>67</v>
      </c>
      <c r="D27" s="22" t="s">
        <v>37</v>
      </c>
      <c r="E27" s="23">
        <v>3500</v>
      </c>
      <c r="F27" s="24">
        <v>1000</v>
      </c>
      <c r="G27" s="25">
        <v>2230</v>
      </c>
      <c r="H27" s="34" t="s">
        <v>68</v>
      </c>
      <c r="I27" s="27" t="s">
        <v>69</v>
      </c>
      <c r="J27" s="24"/>
    </row>
    <row r="28" spans="1:10" ht="19.05" customHeight="1" x14ac:dyDescent="0.3">
      <c r="B28" s="20" t="s">
        <v>70</v>
      </c>
      <c r="C28" s="39" t="s">
        <v>67</v>
      </c>
      <c r="D28" s="22" t="s">
        <v>10</v>
      </c>
      <c r="E28" s="23">
        <v>3500</v>
      </c>
      <c r="F28" s="24">
        <v>200</v>
      </c>
      <c r="G28" s="25">
        <v>3300</v>
      </c>
      <c r="H28" s="34" t="s">
        <v>71</v>
      </c>
      <c r="I28" s="27" t="s">
        <v>72</v>
      </c>
      <c r="J28" s="24"/>
    </row>
    <row r="29" spans="1:10" ht="19.05" customHeight="1" x14ac:dyDescent="0.3">
      <c r="B29" s="20" t="s">
        <v>73</v>
      </c>
      <c r="C29" s="39" t="s">
        <v>67</v>
      </c>
      <c r="D29" s="22" t="s">
        <v>10</v>
      </c>
      <c r="E29" s="23">
        <v>3500</v>
      </c>
      <c r="F29" s="24"/>
      <c r="G29" s="25">
        <v>3500</v>
      </c>
      <c r="H29" s="34"/>
      <c r="I29" s="41" t="s">
        <v>74</v>
      </c>
      <c r="J29" s="24"/>
    </row>
    <row r="30" spans="1:10" ht="19.05" customHeight="1" x14ac:dyDescent="0.3">
      <c r="B30" s="20"/>
      <c r="C30" s="39"/>
      <c r="D30" s="22"/>
      <c r="E30" s="23"/>
      <c r="F30" s="24"/>
      <c r="G30" s="25"/>
      <c r="H30" s="34"/>
      <c r="I30" s="27"/>
      <c r="J30" s="24"/>
    </row>
    <row r="31" spans="1:10" ht="19.95" customHeight="1" thickBot="1" x14ac:dyDescent="0.35">
      <c r="B31" s="42"/>
      <c r="C31" s="42"/>
      <c r="D31" s="42"/>
      <c r="E31" s="43" t="s">
        <v>75</v>
      </c>
      <c r="F31" s="30"/>
      <c r="G31" s="44"/>
      <c r="H31" s="45"/>
      <c r="I31" s="46"/>
      <c r="J31" s="44"/>
    </row>
    <row r="32" spans="1:10" ht="19.05" customHeight="1" x14ac:dyDescent="0.3">
      <c r="B32" s="19" t="s">
        <v>76</v>
      </c>
      <c r="C32" s="47" t="s">
        <v>75</v>
      </c>
      <c r="D32" s="48" t="s">
        <v>10</v>
      </c>
      <c r="E32" s="49">
        <v>3300</v>
      </c>
      <c r="F32" s="50"/>
      <c r="G32" s="51">
        <v>3300</v>
      </c>
      <c r="H32" s="52" t="s">
        <v>77</v>
      </c>
      <c r="I32" s="19" t="s">
        <v>78</v>
      </c>
      <c r="J32" s="15"/>
    </row>
    <row r="33" spans="2:10" ht="19.05" customHeight="1" x14ac:dyDescent="0.3">
      <c r="B33" s="20" t="s">
        <v>79</v>
      </c>
      <c r="C33" s="53" t="s">
        <v>75</v>
      </c>
      <c r="D33" s="22" t="s">
        <v>10</v>
      </c>
      <c r="E33" s="23">
        <v>3000</v>
      </c>
      <c r="F33" s="50">
        <v>200</v>
      </c>
      <c r="G33" s="25">
        <v>2800</v>
      </c>
      <c r="H33" s="34"/>
      <c r="I33" s="20" t="s">
        <v>93</v>
      </c>
      <c r="J33" s="24"/>
    </row>
    <row r="34" spans="2:10" ht="19.05" customHeight="1" x14ac:dyDescent="0.3">
      <c r="B34" s="20" t="s">
        <v>80</v>
      </c>
      <c r="C34" s="53" t="s">
        <v>81</v>
      </c>
      <c r="D34" s="22" t="s">
        <v>10</v>
      </c>
      <c r="E34" s="23">
        <v>3000</v>
      </c>
      <c r="F34" s="50"/>
      <c r="G34" s="25">
        <v>3000</v>
      </c>
      <c r="H34" s="34"/>
      <c r="I34" s="54"/>
      <c r="J34" s="24"/>
    </row>
    <row r="35" spans="2:10" ht="19.05" customHeight="1" x14ac:dyDescent="0.3">
      <c r="B35" s="20" t="s">
        <v>82</v>
      </c>
      <c r="C35" s="53" t="s">
        <v>83</v>
      </c>
      <c r="D35" s="22" t="s">
        <v>10</v>
      </c>
      <c r="E35" s="23">
        <v>3000</v>
      </c>
      <c r="F35" s="55"/>
      <c r="G35" s="25">
        <v>3000</v>
      </c>
      <c r="H35" s="34"/>
      <c r="I35" s="56"/>
      <c r="J35" s="24"/>
    </row>
    <row r="36" spans="2:10" ht="19.05" customHeight="1" thickBot="1" x14ac:dyDescent="0.35">
      <c r="B36" s="57" t="s">
        <v>84</v>
      </c>
      <c r="C36" s="58" t="s">
        <v>85</v>
      </c>
      <c r="D36" s="22" t="s">
        <v>10</v>
      </c>
      <c r="E36" s="59">
        <v>5500</v>
      </c>
      <c r="F36" s="60"/>
      <c r="G36" s="61">
        <v>5500</v>
      </c>
      <c r="H36" s="62" t="s">
        <v>86</v>
      </c>
      <c r="I36" s="57"/>
      <c r="J36" s="71"/>
    </row>
    <row r="37" spans="2:10" ht="24" customHeight="1" thickBot="1" x14ac:dyDescent="0.35">
      <c r="B37" s="63"/>
      <c r="C37" s="64"/>
      <c r="D37" s="65"/>
      <c r="E37" s="66">
        <f>SUBTOTAL(109,E4:E36)</f>
        <v>102300</v>
      </c>
      <c r="F37" s="66">
        <f>SUBTOTAL(109,F4:F36)</f>
        <v>6600</v>
      </c>
      <c r="G37" s="66">
        <f>SUBTOTAL(109,G4:G36)</f>
        <v>95222</v>
      </c>
      <c r="H37" s="67"/>
      <c r="I37" s="68"/>
      <c r="J37" s="66">
        <f>SUBTOTAL(109,J4:J36)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B741-2AB1-4F2D-B00D-EE34D043941E}">
  <dimension ref="A2:N59"/>
  <sheetViews>
    <sheetView tabSelected="1" zoomScale="94" workbookViewId="0">
      <selection activeCell="C44" sqref="C44"/>
    </sheetView>
  </sheetViews>
  <sheetFormatPr baseColWidth="10" defaultRowHeight="14.4" x14ac:dyDescent="0.3"/>
  <cols>
    <col min="1" max="1" width="8.109375" customWidth="1"/>
    <col min="2" max="2" width="27.44140625" customWidth="1"/>
    <col min="3" max="3" width="18.44140625" customWidth="1"/>
    <col min="4" max="4" width="14.5546875" style="1" customWidth="1"/>
    <col min="5" max="5" width="13.33203125" style="1" customWidth="1"/>
    <col min="6" max="6" width="21.5546875" style="2" customWidth="1"/>
    <col min="7" max="7" width="16" style="3" customWidth="1"/>
    <col min="8" max="8" width="17.6640625" style="3" customWidth="1"/>
    <col min="9" max="9" width="34.44140625" customWidth="1"/>
    <col min="10" max="10" width="27.77734375" style="1" customWidth="1"/>
    <col min="11" max="11" width="13.77734375" style="3" customWidth="1"/>
  </cols>
  <sheetData>
    <row r="2" spans="1:13" ht="15" thickBot="1" x14ac:dyDescent="0.35">
      <c r="B2" s="155"/>
      <c r="C2" s="155"/>
      <c r="D2" s="156"/>
      <c r="E2" s="156"/>
      <c r="F2" s="157"/>
      <c r="G2" s="158"/>
      <c r="H2" s="158"/>
      <c r="I2" s="155"/>
      <c r="J2" s="156"/>
      <c r="K2" s="158"/>
    </row>
    <row r="3" spans="1:13" s="10" customFormat="1" ht="76.8" customHeight="1" thickTop="1" thickBot="1" x14ac:dyDescent="0.35">
      <c r="A3" s="172"/>
      <c r="B3" s="159" t="s">
        <v>100</v>
      </c>
      <c r="C3" s="148" t="s">
        <v>101</v>
      </c>
      <c r="D3" s="149" t="s">
        <v>102</v>
      </c>
      <c r="E3" s="150" t="s">
        <v>103</v>
      </c>
      <c r="F3" s="151" t="s">
        <v>104</v>
      </c>
      <c r="G3" s="151" t="s">
        <v>4</v>
      </c>
      <c r="H3" s="152" t="s">
        <v>105</v>
      </c>
      <c r="I3" s="153" t="s">
        <v>106</v>
      </c>
      <c r="J3" s="148" t="s">
        <v>107</v>
      </c>
      <c r="K3" s="154" t="s">
        <v>89</v>
      </c>
    </row>
    <row r="4" spans="1:13" ht="19.05" customHeight="1" x14ac:dyDescent="0.3">
      <c r="A4" s="173"/>
      <c r="B4" s="160" t="s">
        <v>8</v>
      </c>
      <c r="C4" s="87" t="s">
        <v>9</v>
      </c>
      <c r="D4" s="13" t="s">
        <v>10</v>
      </c>
      <c r="E4" s="13" t="s">
        <v>117</v>
      </c>
      <c r="F4" s="14">
        <v>7000</v>
      </c>
      <c r="G4" s="191">
        <v>1000</v>
      </c>
      <c r="H4" s="126">
        <f>Tableau144[[#This Row],[SALAIRE]]-Tableau144[[#This Row],[AVANCE]]</f>
        <v>6000</v>
      </c>
      <c r="I4" s="17" t="s">
        <v>11</v>
      </c>
      <c r="J4" s="18" t="s">
        <v>12</v>
      </c>
      <c r="K4" s="187"/>
    </row>
    <row r="5" spans="1:13" ht="19.05" customHeight="1" x14ac:dyDescent="0.3">
      <c r="A5" s="173"/>
      <c r="B5" s="161" t="s">
        <v>13</v>
      </c>
      <c r="C5" s="88" t="s">
        <v>14</v>
      </c>
      <c r="D5" s="73" t="s">
        <v>10</v>
      </c>
      <c r="E5" s="73" t="s">
        <v>117</v>
      </c>
      <c r="F5" s="23">
        <v>4500</v>
      </c>
      <c r="G5" s="192"/>
      <c r="H5" s="127">
        <f>Tableau144[[#This Row],[SALAIRE]]-Tableau144[[#This Row],[AVANCE]]</f>
        <v>4500</v>
      </c>
      <c r="I5" s="85" t="s">
        <v>15</v>
      </c>
      <c r="J5" s="79" t="s">
        <v>16</v>
      </c>
      <c r="K5" s="188"/>
    </row>
    <row r="6" spans="1:13" ht="15" customHeight="1" x14ac:dyDescent="0.3">
      <c r="A6" s="173"/>
      <c r="B6" s="182"/>
      <c r="C6" s="183"/>
      <c r="D6" s="180"/>
      <c r="E6" s="180"/>
      <c r="F6" s="185" t="s">
        <v>17</v>
      </c>
      <c r="G6" s="177"/>
      <c r="H6" s="178"/>
      <c r="I6" s="184"/>
      <c r="J6" s="180"/>
      <c r="K6" s="181"/>
    </row>
    <row r="7" spans="1:13" ht="19.05" customHeight="1" x14ac:dyDescent="0.3">
      <c r="A7" s="173"/>
      <c r="B7" s="160" t="s">
        <v>18</v>
      </c>
      <c r="C7" s="89" t="s">
        <v>19</v>
      </c>
      <c r="D7" s="13" t="s">
        <v>134</v>
      </c>
      <c r="E7" s="13" t="s">
        <v>116</v>
      </c>
      <c r="F7" s="23">
        <v>6000</v>
      </c>
      <c r="G7" s="193">
        <v>1000</v>
      </c>
      <c r="H7" s="128">
        <f>Tableau144[[#This Row],[SALAIRE]]-Tableau144[[#This Row],[AVANCE]]</f>
        <v>5000</v>
      </c>
      <c r="I7" s="83" t="s">
        <v>87</v>
      </c>
      <c r="J7" s="18" t="s">
        <v>20</v>
      </c>
      <c r="K7" s="189"/>
      <c r="L7" t="s">
        <v>98</v>
      </c>
    </row>
    <row r="8" spans="1:13" ht="19.05" customHeight="1" x14ac:dyDescent="0.3">
      <c r="A8" s="173"/>
      <c r="B8" s="162" t="s">
        <v>24</v>
      </c>
      <c r="C8" s="90" t="s">
        <v>17</v>
      </c>
      <c r="D8" s="22" t="s">
        <v>10</v>
      </c>
      <c r="E8" s="13" t="s">
        <v>116</v>
      </c>
      <c r="F8" s="23">
        <v>4000</v>
      </c>
      <c r="G8" s="194">
        <v>1500</v>
      </c>
      <c r="H8" s="129">
        <f>Tableau144[[#This Row],[SALAIRE]]-Tableau144[[#This Row],[AVANCE]]</f>
        <v>2500</v>
      </c>
      <c r="I8" s="34" t="s">
        <v>25</v>
      </c>
      <c r="J8" s="27" t="s">
        <v>26</v>
      </c>
      <c r="K8" s="190"/>
    </row>
    <row r="9" spans="1:13" ht="19.05" customHeight="1" x14ac:dyDescent="0.3">
      <c r="A9" s="173"/>
      <c r="B9" s="162" t="s">
        <v>27</v>
      </c>
      <c r="C9" s="90" t="s">
        <v>17</v>
      </c>
      <c r="D9" s="22" t="s">
        <v>10</v>
      </c>
      <c r="E9" s="13" t="s">
        <v>116</v>
      </c>
      <c r="F9" s="23">
        <v>5000</v>
      </c>
      <c r="G9" s="194"/>
      <c r="H9" s="129">
        <f>Tableau144[[#This Row],[SALAIRE]]-Tableau144[[#This Row],[AVANCE]]</f>
        <v>5000</v>
      </c>
      <c r="I9" s="34" t="s">
        <v>28</v>
      </c>
      <c r="J9" s="27" t="s">
        <v>29</v>
      </c>
      <c r="K9" s="190"/>
    </row>
    <row r="10" spans="1:13" ht="19.05" customHeight="1" x14ac:dyDescent="0.3">
      <c r="A10" s="173"/>
      <c r="B10" s="162" t="s">
        <v>30</v>
      </c>
      <c r="C10" s="90" t="s">
        <v>17</v>
      </c>
      <c r="D10" s="22" t="s">
        <v>10</v>
      </c>
      <c r="E10" s="13" t="s">
        <v>116</v>
      </c>
      <c r="F10" s="23">
        <v>4000</v>
      </c>
      <c r="G10" s="194"/>
      <c r="H10" s="129">
        <f>Tableau144[[#This Row],[SALAIRE]]-Tableau144[[#This Row],[AVANCE]]</f>
        <v>4000</v>
      </c>
      <c r="I10" s="34" t="s">
        <v>31</v>
      </c>
      <c r="J10" s="27" t="s">
        <v>32</v>
      </c>
      <c r="K10" s="190"/>
    </row>
    <row r="11" spans="1:13" ht="19.05" customHeight="1" x14ac:dyDescent="0.3">
      <c r="A11" s="173"/>
      <c r="B11" s="162" t="s">
        <v>33</v>
      </c>
      <c r="C11" s="90" t="s">
        <v>17</v>
      </c>
      <c r="D11" s="22" t="s">
        <v>10</v>
      </c>
      <c r="E11" s="13" t="s">
        <v>116</v>
      </c>
      <c r="F11" s="23">
        <v>3500</v>
      </c>
      <c r="G11" s="194"/>
      <c r="H11" s="129">
        <f>Tableau144[[#This Row],[SALAIRE]]-Tableau144[[#This Row],[AVANCE]]</f>
        <v>3500</v>
      </c>
      <c r="I11" s="34" t="s">
        <v>34</v>
      </c>
      <c r="J11" s="27" t="s">
        <v>35</v>
      </c>
      <c r="K11" s="190"/>
    </row>
    <row r="12" spans="1:13" ht="19.05" customHeight="1" x14ac:dyDescent="0.3">
      <c r="A12" s="173"/>
      <c r="B12" s="162" t="s">
        <v>36</v>
      </c>
      <c r="C12" s="90" t="s">
        <v>17</v>
      </c>
      <c r="D12" s="22" t="s">
        <v>10</v>
      </c>
      <c r="E12" s="13" t="s">
        <v>116</v>
      </c>
      <c r="F12" s="23">
        <v>5000</v>
      </c>
      <c r="G12" s="194"/>
      <c r="H12" s="129">
        <f>Tableau144[[#This Row],[SALAIRE]]-Tableau144[[#This Row],[AVANCE]]</f>
        <v>5000</v>
      </c>
      <c r="I12" s="34" t="s">
        <v>38</v>
      </c>
      <c r="J12" s="27" t="s">
        <v>39</v>
      </c>
      <c r="K12" s="190"/>
    </row>
    <row r="13" spans="1:13" ht="19.05" customHeight="1" x14ac:dyDescent="0.3">
      <c r="A13" s="173"/>
      <c r="B13" s="161" t="s">
        <v>40</v>
      </c>
      <c r="C13" s="91" t="s">
        <v>17</v>
      </c>
      <c r="D13" s="73" t="s">
        <v>10</v>
      </c>
      <c r="E13" s="13" t="s">
        <v>116</v>
      </c>
      <c r="F13" s="23">
        <v>4000</v>
      </c>
      <c r="G13" s="192">
        <v>200</v>
      </c>
      <c r="H13" s="127">
        <f>Tableau144[[#This Row],[SALAIRE]]-Tableau144[[#This Row],[AVANCE]]</f>
        <v>3800</v>
      </c>
      <c r="I13" s="81" t="s">
        <v>88</v>
      </c>
      <c r="J13" s="79" t="s">
        <v>41</v>
      </c>
      <c r="K13" s="188"/>
    </row>
    <row r="14" spans="1:13" ht="15" customHeight="1" x14ac:dyDescent="0.3">
      <c r="A14" s="173"/>
      <c r="B14" s="182"/>
      <c r="C14" s="183"/>
      <c r="D14" s="180"/>
      <c r="E14" s="180"/>
      <c r="F14" s="185" t="s">
        <v>42</v>
      </c>
      <c r="G14" s="177"/>
      <c r="H14" s="178"/>
      <c r="I14" s="179"/>
      <c r="J14" s="180"/>
      <c r="K14" s="181"/>
    </row>
    <row r="15" spans="1:13" ht="19.05" customHeight="1" x14ac:dyDescent="0.3">
      <c r="A15" s="173"/>
      <c r="B15" s="163" t="s">
        <v>43</v>
      </c>
      <c r="C15" s="101" t="s">
        <v>42</v>
      </c>
      <c r="D15" s="102" t="s">
        <v>10</v>
      </c>
      <c r="E15" s="102" t="s">
        <v>131</v>
      </c>
      <c r="F15" s="103">
        <v>6500</v>
      </c>
      <c r="G15" s="104"/>
      <c r="H15" s="123">
        <v>7500</v>
      </c>
      <c r="I15" s="105" t="s">
        <v>44</v>
      </c>
      <c r="J15" s="106" t="s">
        <v>45</v>
      </c>
      <c r="K15" s="145"/>
      <c r="L15" s="205" t="s">
        <v>99</v>
      </c>
      <c r="M15" s="205"/>
    </row>
    <row r="16" spans="1:13" ht="19.05" customHeight="1" x14ac:dyDescent="0.3">
      <c r="A16" s="173"/>
      <c r="B16" s="161" t="s">
        <v>47</v>
      </c>
      <c r="C16" s="92" t="s">
        <v>42</v>
      </c>
      <c r="D16" s="73" t="s">
        <v>10</v>
      </c>
      <c r="E16" s="73" t="s">
        <v>115</v>
      </c>
      <c r="F16" s="23">
        <v>4500</v>
      </c>
      <c r="G16" s="192"/>
      <c r="H16" s="127">
        <f>Tableau144[[#This Row],[SALAIRE]]-Tableau144[[#This Row],[AVANCE]]</f>
        <v>4500</v>
      </c>
      <c r="I16" s="81" t="s">
        <v>90</v>
      </c>
      <c r="J16" s="79" t="s">
        <v>48</v>
      </c>
      <c r="K16" s="188"/>
    </row>
    <row r="17" spans="1:13" ht="15" customHeight="1" x14ac:dyDescent="0.3">
      <c r="A17" s="173"/>
      <c r="B17" s="182"/>
      <c r="C17" s="183"/>
      <c r="D17" s="180"/>
      <c r="E17" s="180"/>
      <c r="F17" s="185" t="s">
        <v>49</v>
      </c>
      <c r="G17" s="177"/>
      <c r="H17" s="178"/>
      <c r="I17" s="179"/>
      <c r="J17" s="180"/>
      <c r="K17" s="181"/>
    </row>
    <row r="18" spans="1:13" ht="19.05" customHeight="1" x14ac:dyDescent="0.3">
      <c r="A18" s="173"/>
      <c r="B18" s="164"/>
      <c r="C18" s="93" t="s">
        <v>50</v>
      </c>
      <c r="D18" s="13"/>
      <c r="E18" s="13"/>
      <c r="F18" s="23"/>
      <c r="G18" s="193"/>
      <c r="H18" s="128"/>
      <c r="I18" s="83"/>
      <c r="J18" s="18"/>
      <c r="K18" s="189"/>
    </row>
    <row r="19" spans="1:13" ht="19.05" customHeight="1" x14ac:dyDescent="0.3">
      <c r="A19" s="173"/>
      <c r="B19" s="165"/>
      <c r="C19" s="94" t="s">
        <v>50</v>
      </c>
      <c r="D19" s="73"/>
      <c r="E19" s="73"/>
      <c r="F19" s="23"/>
      <c r="G19" s="192"/>
      <c r="H19" s="127"/>
      <c r="I19" s="81"/>
      <c r="J19" s="79"/>
      <c r="K19" s="188"/>
    </row>
    <row r="20" spans="1:13" ht="15" customHeight="1" x14ac:dyDescent="0.3">
      <c r="A20" s="173"/>
      <c r="B20" s="182"/>
      <c r="C20" s="183"/>
      <c r="D20" s="180"/>
      <c r="E20" s="180"/>
      <c r="F20" s="185" t="s">
        <v>51</v>
      </c>
      <c r="G20" s="177"/>
      <c r="H20" s="178"/>
      <c r="I20" s="179"/>
      <c r="J20" s="180"/>
      <c r="K20" s="181"/>
    </row>
    <row r="21" spans="1:13" ht="19.05" customHeight="1" x14ac:dyDescent="0.3">
      <c r="A21" s="173"/>
      <c r="B21" s="166" t="s">
        <v>52</v>
      </c>
      <c r="C21" s="95" t="s">
        <v>53</v>
      </c>
      <c r="D21" s="13" t="s">
        <v>10</v>
      </c>
      <c r="E21" s="13" t="s">
        <v>116</v>
      </c>
      <c r="F21" s="23">
        <v>4000</v>
      </c>
      <c r="G21" s="193"/>
      <c r="H21" s="128">
        <f>Tableau144[[#This Row],[SALAIRE]]-Tableau144[[#This Row],[AVANCE]]</f>
        <v>4000</v>
      </c>
      <c r="I21" s="83" t="s">
        <v>54</v>
      </c>
      <c r="J21" s="18" t="s">
        <v>55</v>
      </c>
      <c r="K21" s="189"/>
    </row>
    <row r="22" spans="1:13" ht="19.05" customHeight="1" x14ac:dyDescent="0.3">
      <c r="A22" s="173"/>
      <c r="B22" s="167" t="s">
        <v>56</v>
      </c>
      <c r="C22" s="96" t="s">
        <v>53</v>
      </c>
      <c r="D22" s="73" t="s">
        <v>10</v>
      </c>
      <c r="E22" s="73" t="s">
        <v>117</v>
      </c>
      <c r="F22" s="23">
        <v>4000</v>
      </c>
      <c r="G22" s="192"/>
      <c r="H22" s="127">
        <f>Tableau144[[#This Row],[SALAIRE]]-Tableau144[[#This Row],[AVANCE]]</f>
        <v>4000</v>
      </c>
      <c r="I22" s="81" t="s">
        <v>57</v>
      </c>
      <c r="J22" s="79" t="s">
        <v>58</v>
      </c>
      <c r="K22" s="188"/>
    </row>
    <row r="23" spans="1:13" ht="15" customHeight="1" x14ac:dyDescent="0.3">
      <c r="A23" s="173"/>
      <c r="B23" s="182"/>
      <c r="C23" s="183"/>
      <c r="D23" s="180"/>
      <c r="E23" s="180"/>
      <c r="F23" s="185" t="s">
        <v>59</v>
      </c>
      <c r="G23" s="177"/>
      <c r="H23" s="178"/>
      <c r="I23" s="179"/>
      <c r="J23" s="180"/>
      <c r="K23" s="181"/>
    </row>
    <row r="24" spans="1:13" ht="19.05" customHeight="1" x14ac:dyDescent="0.3">
      <c r="A24" s="173"/>
      <c r="B24" s="163" t="s">
        <v>60</v>
      </c>
      <c r="C24" s="101" t="s">
        <v>61</v>
      </c>
      <c r="D24" s="102" t="s">
        <v>10</v>
      </c>
      <c r="E24" s="102" t="s">
        <v>133</v>
      </c>
      <c r="F24" s="103">
        <v>4000</v>
      </c>
      <c r="G24" s="104"/>
      <c r="H24" s="123">
        <v>5076.92</v>
      </c>
      <c r="I24" s="107" t="s">
        <v>62</v>
      </c>
      <c r="J24" s="106" t="s">
        <v>63</v>
      </c>
      <c r="K24" s="145"/>
      <c r="L24" s="204" t="s">
        <v>99</v>
      </c>
      <c r="M24" s="204"/>
    </row>
    <row r="25" spans="1:13" ht="19.05" customHeight="1" x14ac:dyDescent="0.3">
      <c r="A25" s="173"/>
      <c r="B25" s="162" t="s">
        <v>64</v>
      </c>
      <c r="C25" s="97" t="s">
        <v>61</v>
      </c>
      <c r="D25" s="22" t="s">
        <v>10</v>
      </c>
      <c r="E25" s="13" t="s">
        <v>116</v>
      </c>
      <c r="F25" s="23">
        <v>4000</v>
      </c>
      <c r="G25" s="194"/>
      <c r="H25" s="129">
        <f>Tableau144[[#This Row],[SALAIRE]]-Tableau144[[#This Row],[AVANCE]]</f>
        <v>4000</v>
      </c>
      <c r="I25" s="34" t="s">
        <v>127</v>
      </c>
      <c r="J25" s="27" t="s">
        <v>65</v>
      </c>
      <c r="K25" s="190"/>
      <c r="L25" s="176"/>
      <c r="M25" s="176"/>
    </row>
    <row r="26" spans="1:13" ht="19.05" customHeight="1" x14ac:dyDescent="0.3">
      <c r="A26" s="173"/>
      <c r="B26" s="162" t="s">
        <v>66</v>
      </c>
      <c r="C26" s="97" t="s">
        <v>67</v>
      </c>
      <c r="D26" s="22" t="s">
        <v>10</v>
      </c>
      <c r="E26" s="22" t="s">
        <v>117</v>
      </c>
      <c r="F26" s="23">
        <v>3500</v>
      </c>
      <c r="G26" s="194">
        <v>600</v>
      </c>
      <c r="H26" s="129">
        <f>Tableau144[[#This Row],[SALAIRE]]-Tableau144[[#This Row],[AVANCE]]</f>
        <v>2900</v>
      </c>
      <c r="I26" s="34" t="s">
        <v>68</v>
      </c>
      <c r="J26" s="27" t="s">
        <v>69</v>
      </c>
      <c r="K26" s="190"/>
      <c r="L26" s="176"/>
      <c r="M26" s="176"/>
    </row>
    <row r="27" spans="1:13" ht="19.05" customHeight="1" x14ac:dyDescent="0.3">
      <c r="A27" s="173"/>
      <c r="B27" s="162" t="s">
        <v>70</v>
      </c>
      <c r="C27" s="97" t="s">
        <v>67</v>
      </c>
      <c r="D27" s="22" t="s">
        <v>10</v>
      </c>
      <c r="E27" s="73" t="s">
        <v>116</v>
      </c>
      <c r="F27" s="23">
        <v>3500</v>
      </c>
      <c r="G27" s="194"/>
      <c r="H27" s="129">
        <f>Tableau144[[#This Row],[SALAIRE]]-Tableau144[[#This Row],[AVANCE]]</f>
        <v>3500</v>
      </c>
      <c r="I27" s="34" t="s">
        <v>71</v>
      </c>
      <c r="J27" s="27" t="s">
        <v>72</v>
      </c>
      <c r="K27" s="190"/>
      <c r="L27" s="176"/>
      <c r="M27" s="176"/>
    </row>
    <row r="28" spans="1:13" ht="19.05" customHeight="1" x14ac:dyDescent="0.3">
      <c r="A28" s="173"/>
      <c r="B28" s="161" t="s">
        <v>73</v>
      </c>
      <c r="C28" s="96" t="s">
        <v>67</v>
      </c>
      <c r="D28" s="73" t="s">
        <v>10</v>
      </c>
      <c r="E28" s="73" t="s">
        <v>116</v>
      </c>
      <c r="F28" s="23">
        <v>3500</v>
      </c>
      <c r="G28" s="192">
        <v>200</v>
      </c>
      <c r="H28" s="127">
        <f>Tableau144[[#This Row],[SALAIRE]]-Tableau144[[#This Row],[AVANCE]]</f>
        <v>3300</v>
      </c>
      <c r="I28" s="81" t="s">
        <v>127</v>
      </c>
      <c r="J28" s="82" t="s">
        <v>74</v>
      </c>
      <c r="K28" s="188"/>
      <c r="L28" s="176"/>
      <c r="M28" s="176"/>
    </row>
    <row r="29" spans="1:13" ht="15" customHeight="1" thickBot="1" x14ac:dyDescent="0.35">
      <c r="A29" s="173"/>
      <c r="B29" s="182"/>
      <c r="C29" s="183"/>
      <c r="D29" s="180"/>
      <c r="E29" s="180"/>
      <c r="F29" s="186" t="s">
        <v>75</v>
      </c>
      <c r="G29" s="177"/>
      <c r="H29" s="178"/>
      <c r="I29" s="179"/>
      <c r="J29" s="180"/>
      <c r="K29" s="181"/>
      <c r="L29" s="176"/>
      <c r="M29" s="176"/>
    </row>
    <row r="30" spans="1:13" ht="19.05" customHeight="1" x14ac:dyDescent="0.3">
      <c r="A30" s="173"/>
      <c r="B30" s="160" t="s">
        <v>76</v>
      </c>
      <c r="C30" s="98" t="s">
        <v>75</v>
      </c>
      <c r="D30" s="86" t="s">
        <v>10</v>
      </c>
      <c r="E30" s="73" t="s">
        <v>116</v>
      </c>
      <c r="F30" s="49">
        <v>3300</v>
      </c>
      <c r="G30" s="195"/>
      <c r="H30" s="130">
        <f>Tableau144[[#This Row],[SALAIRE]]-Tableau144[[#This Row],[AVANCE]]</f>
        <v>3300</v>
      </c>
      <c r="I30" s="83" t="s">
        <v>77</v>
      </c>
      <c r="J30" s="18" t="s">
        <v>78</v>
      </c>
      <c r="K30" s="189"/>
      <c r="L30" s="176"/>
      <c r="M30" s="176"/>
    </row>
    <row r="31" spans="1:13" ht="19.05" customHeight="1" x14ac:dyDescent="0.3">
      <c r="A31" s="173"/>
      <c r="B31" s="162" t="s">
        <v>129</v>
      </c>
      <c r="C31" s="99" t="s">
        <v>75</v>
      </c>
      <c r="D31" s="75" t="s">
        <v>10</v>
      </c>
      <c r="E31" s="73" t="s">
        <v>116</v>
      </c>
      <c r="F31" s="23">
        <v>3000</v>
      </c>
      <c r="G31" s="196">
        <v>200</v>
      </c>
      <c r="H31" s="131">
        <f>Tableau144[[#This Row],[SALAIRE]]-Tableau144[[#This Row],[AVANCE]]</f>
        <v>2800</v>
      </c>
      <c r="I31" s="34" t="s">
        <v>127</v>
      </c>
      <c r="J31" s="27" t="s">
        <v>93</v>
      </c>
      <c r="K31" s="190"/>
      <c r="L31" s="176"/>
      <c r="M31" s="176"/>
    </row>
    <row r="32" spans="1:13" ht="19.05" customHeight="1" x14ac:dyDescent="0.3">
      <c r="A32" s="173"/>
      <c r="B32" s="168" t="s">
        <v>80</v>
      </c>
      <c r="C32" s="108" t="s">
        <v>81</v>
      </c>
      <c r="D32" s="109" t="s">
        <v>110</v>
      </c>
      <c r="E32" s="110" t="s">
        <v>117</v>
      </c>
      <c r="F32" s="103">
        <v>3000</v>
      </c>
      <c r="G32" s="111"/>
      <c r="H32" s="124">
        <v>692.3</v>
      </c>
      <c r="I32" s="112" t="s">
        <v>127</v>
      </c>
      <c r="J32" s="113"/>
      <c r="K32" s="146"/>
      <c r="L32" s="204" t="s">
        <v>95</v>
      </c>
      <c r="M32" s="204"/>
    </row>
    <row r="33" spans="1:14" ht="19.05" customHeight="1" x14ac:dyDescent="0.3">
      <c r="A33" s="173"/>
      <c r="B33" s="169" t="s">
        <v>82</v>
      </c>
      <c r="C33" s="114" t="s">
        <v>83</v>
      </c>
      <c r="D33" s="115" t="s">
        <v>111</v>
      </c>
      <c r="E33" s="110" t="s">
        <v>116</v>
      </c>
      <c r="F33" s="116">
        <v>3000</v>
      </c>
      <c r="G33" s="117"/>
      <c r="H33" s="124">
        <v>1615.38</v>
      </c>
      <c r="I33" s="112" t="s">
        <v>127</v>
      </c>
      <c r="J33" s="118"/>
      <c r="K33" s="146"/>
      <c r="L33" s="206" t="s">
        <v>96</v>
      </c>
      <c r="M33" s="207"/>
      <c r="N33" s="135"/>
    </row>
    <row r="34" spans="1:14" ht="19.05" customHeight="1" x14ac:dyDescent="0.3">
      <c r="A34" s="173"/>
      <c r="B34" s="161" t="s">
        <v>114</v>
      </c>
      <c r="C34" s="99" t="s">
        <v>112</v>
      </c>
      <c r="D34" s="22" t="s">
        <v>91</v>
      </c>
      <c r="E34" s="77" t="s">
        <v>116</v>
      </c>
      <c r="F34" s="23">
        <v>3500</v>
      </c>
      <c r="G34" s="197"/>
      <c r="H34" s="129">
        <v>3769.23</v>
      </c>
      <c r="I34" s="34" t="s">
        <v>128</v>
      </c>
      <c r="J34" s="72"/>
      <c r="K34" s="190"/>
      <c r="L34" s="174"/>
      <c r="M34" s="175"/>
    </row>
    <row r="35" spans="1:14" ht="19.05" customHeight="1" x14ac:dyDescent="0.3">
      <c r="A35" s="173"/>
      <c r="B35" s="161" t="s">
        <v>119</v>
      </c>
      <c r="C35" s="99" t="s">
        <v>85</v>
      </c>
      <c r="D35" s="22" t="s">
        <v>113</v>
      </c>
      <c r="E35" s="77" t="s">
        <v>117</v>
      </c>
      <c r="F35" s="23">
        <v>6000</v>
      </c>
      <c r="G35" s="197"/>
      <c r="H35" s="129">
        <v>1846.15</v>
      </c>
      <c r="I35" s="34" t="s">
        <v>127</v>
      </c>
      <c r="J35" s="72" t="s">
        <v>120</v>
      </c>
      <c r="K35" s="190"/>
      <c r="L35" s="174"/>
      <c r="M35" s="175"/>
    </row>
    <row r="36" spans="1:14" ht="19.05" customHeight="1" x14ac:dyDescent="0.3">
      <c r="A36" s="173"/>
      <c r="B36" s="168" t="s">
        <v>84</v>
      </c>
      <c r="C36" s="108" t="s">
        <v>85</v>
      </c>
      <c r="D36" s="119" t="s">
        <v>109</v>
      </c>
      <c r="E36" s="109" t="s">
        <v>117</v>
      </c>
      <c r="F36" s="120">
        <v>5500</v>
      </c>
      <c r="G36" s="121"/>
      <c r="H36" s="125">
        <v>4019.23</v>
      </c>
      <c r="I36" s="112" t="s">
        <v>86</v>
      </c>
      <c r="J36" s="122"/>
      <c r="K36" s="147"/>
      <c r="L36" s="204" t="s">
        <v>97</v>
      </c>
      <c r="M36" s="204"/>
    </row>
    <row r="37" spans="1:14" ht="19.05" customHeight="1" x14ac:dyDescent="0.3">
      <c r="A37" s="173"/>
      <c r="B37" s="162" t="s">
        <v>121</v>
      </c>
      <c r="C37" s="100" t="s">
        <v>83</v>
      </c>
      <c r="D37" s="75" t="s">
        <v>118</v>
      </c>
      <c r="E37" s="84" t="s">
        <v>117</v>
      </c>
      <c r="F37" s="23">
        <v>3000</v>
      </c>
      <c r="G37" s="198" t="s">
        <v>132</v>
      </c>
      <c r="H37" s="129">
        <v>1269.23</v>
      </c>
      <c r="I37" s="34" t="s">
        <v>122</v>
      </c>
      <c r="J37" s="78" t="s">
        <v>123</v>
      </c>
      <c r="K37" s="190"/>
    </row>
    <row r="38" spans="1:14" ht="19.05" customHeight="1" x14ac:dyDescent="0.3">
      <c r="A38" s="173"/>
      <c r="B38" s="168" t="s">
        <v>124</v>
      </c>
      <c r="C38" s="114" t="s">
        <v>83</v>
      </c>
      <c r="D38" s="109" t="s">
        <v>126</v>
      </c>
      <c r="E38" s="201" t="s">
        <v>117</v>
      </c>
      <c r="F38" s="103">
        <v>3000</v>
      </c>
      <c r="G38" s="117" t="s">
        <v>132</v>
      </c>
      <c r="H38" s="202">
        <v>1038.46</v>
      </c>
      <c r="I38" s="112" t="s">
        <v>127</v>
      </c>
      <c r="J38" s="203" t="s">
        <v>125</v>
      </c>
      <c r="K38" s="146"/>
      <c r="L38" s="204" t="s">
        <v>99</v>
      </c>
      <c r="M38" s="204"/>
    </row>
    <row r="39" spans="1:14" ht="19.05" customHeight="1" thickBot="1" x14ac:dyDescent="0.35">
      <c r="A39" s="173"/>
      <c r="B39" s="170" t="s">
        <v>130</v>
      </c>
      <c r="C39" s="100" t="s">
        <v>83</v>
      </c>
      <c r="D39" s="76" t="s">
        <v>108</v>
      </c>
      <c r="E39" s="74" t="s">
        <v>116</v>
      </c>
      <c r="F39" s="132">
        <v>3000</v>
      </c>
      <c r="G39" s="199" t="s">
        <v>132</v>
      </c>
      <c r="H39" s="133">
        <v>2653.84</v>
      </c>
      <c r="I39" s="81" t="s">
        <v>127</v>
      </c>
      <c r="J39" s="80"/>
      <c r="K39" s="200"/>
    </row>
    <row r="40" spans="1:14" ht="24" customHeight="1" thickTop="1" thickBot="1" x14ac:dyDescent="0.35">
      <c r="A40" s="173"/>
      <c r="B40" s="171"/>
      <c r="C40" s="136"/>
      <c r="D40" s="137"/>
      <c r="E40" s="138"/>
      <c r="F40" s="139">
        <f>SUBTOTAL(109,F4:F39)</f>
        <v>116800</v>
      </c>
      <c r="G40" s="140">
        <f>SUBTOTAL(109,G4:G39)</f>
        <v>4700</v>
      </c>
      <c r="H40" s="141">
        <f>SUBTOTAL(109,H4:H39)</f>
        <v>101080.73999999999</v>
      </c>
      <c r="I40" s="142"/>
      <c r="J40" s="143"/>
      <c r="K40" s="144">
        <f>SUBTOTAL(109,K4:K36)</f>
        <v>0</v>
      </c>
    </row>
    <row r="41" spans="1:14" ht="15" thickTop="1" x14ac:dyDescent="0.3"/>
    <row r="42" spans="1:14" x14ac:dyDescent="0.3">
      <c r="I42" s="134"/>
    </row>
    <row r="44" spans="1:14" x14ac:dyDescent="0.3">
      <c r="I44" s="3"/>
    </row>
    <row r="46" spans="1:14" x14ac:dyDescent="0.3">
      <c r="D46"/>
      <c r="E46"/>
      <c r="F46"/>
      <c r="G46"/>
      <c r="H46"/>
      <c r="J46"/>
      <c r="K46"/>
    </row>
    <row r="47" spans="1:14" x14ac:dyDescent="0.3">
      <c r="D47"/>
      <c r="E47"/>
      <c r="F47"/>
      <c r="G47"/>
      <c r="H47"/>
      <c r="J47"/>
      <c r="K47"/>
    </row>
    <row r="48" spans="1:14" x14ac:dyDescent="0.3">
      <c r="D48"/>
      <c r="E48"/>
      <c r="F48"/>
      <c r="G48"/>
      <c r="H48"/>
      <c r="J48"/>
      <c r="K48"/>
    </row>
    <row r="49" spans="2:11" x14ac:dyDescent="0.3">
      <c r="D49"/>
      <c r="E49"/>
      <c r="F49"/>
      <c r="G49"/>
      <c r="H49"/>
      <c r="J49"/>
      <c r="K49"/>
    </row>
    <row r="50" spans="2:11" x14ac:dyDescent="0.3">
      <c r="D50"/>
      <c r="E50"/>
      <c r="F50"/>
      <c r="G50"/>
      <c r="H50"/>
      <c r="J50"/>
      <c r="K50"/>
    </row>
    <row r="51" spans="2:11" x14ac:dyDescent="0.3">
      <c r="D51"/>
      <c r="E51"/>
      <c r="F51"/>
      <c r="G51"/>
      <c r="H51"/>
      <c r="J51"/>
      <c r="K51"/>
    </row>
    <row r="52" spans="2:11" x14ac:dyDescent="0.3">
      <c r="D52"/>
      <c r="E52"/>
      <c r="F52"/>
      <c r="G52"/>
      <c r="H52"/>
      <c r="J52"/>
      <c r="K52"/>
    </row>
    <row r="53" spans="2:11" x14ac:dyDescent="0.3">
      <c r="D53"/>
      <c r="E53"/>
      <c r="F53"/>
      <c r="G53"/>
      <c r="H53"/>
      <c r="J53"/>
      <c r="K53"/>
    </row>
    <row r="59" spans="2:11" x14ac:dyDescent="0.3">
      <c r="B59" t="s">
        <v>94</v>
      </c>
    </row>
  </sheetData>
  <mergeCells count="6">
    <mergeCell ref="L38:M38"/>
    <mergeCell ref="L15:M15"/>
    <mergeCell ref="L24:M24"/>
    <mergeCell ref="L32:M32"/>
    <mergeCell ref="L33:M33"/>
    <mergeCell ref="L36:M3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DECEMBRE 2025</vt:lpstr>
      <vt:lpstr>JANVIER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SWIFT</dc:creator>
  <cp:lastModifiedBy>ZAINEB AHMANI</cp:lastModifiedBy>
  <dcterms:created xsi:type="dcterms:W3CDTF">2015-06-05T18:19:34Z</dcterms:created>
  <dcterms:modified xsi:type="dcterms:W3CDTF">2026-01-30T19:00:12Z</dcterms:modified>
</cp:coreProperties>
</file>