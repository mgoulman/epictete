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F7101222-ECAB-0744-8A5B-11BC4077754F}" xr6:coauthVersionLast="40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uivi Journalier" sheetId="1" r:id="rId1"/>
    <sheet name="Légende &amp; Instructions" sheetId="2" r:id="rId2"/>
    <sheet name="Récap Mensuel" sheetId="3" r:id="rId3"/>
  </sheets>
  <calcPr calcId="191029" iterateDelta="1E-4"/>
</workbook>
</file>

<file path=xl/calcChain.xml><?xml version="1.0" encoding="utf-8"?>
<calcChain xmlns="http://schemas.openxmlformats.org/spreadsheetml/2006/main">
  <c r="G37" i="1" l="1"/>
  <c r="B9" i="3" s="1"/>
  <c r="B10" i="3"/>
  <c r="J37" i="1"/>
  <c r="B12" i="3" s="1"/>
  <c r="H37" i="1"/>
  <c r="D37" i="1"/>
  <c r="B5" i="3" s="1"/>
  <c r="C37" i="1"/>
  <c r="B4" i="3" s="1"/>
  <c r="B37" i="1"/>
  <c r="B3" i="3" s="1"/>
  <c r="M36" i="1"/>
  <c r="L36" i="1"/>
  <c r="I36" i="1"/>
  <c r="E36" i="1"/>
  <c r="M35" i="1"/>
  <c r="L35" i="1"/>
  <c r="I35" i="1"/>
  <c r="E35" i="1"/>
  <c r="M34" i="1"/>
  <c r="L34" i="1"/>
  <c r="I34" i="1"/>
  <c r="E34" i="1"/>
  <c r="M33" i="1"/>
  <c r="L33" i="1"/>
  <c r="I33" i="1"/>
  <c r="E33" i="1"/>
  <c r="M32" i="1"/>
  <c r="L32" i="1"/>
  <c r="I32" i="1"/>
  <c r="E32" i="1"/>
  <c r="M31" i="1"/>
  <c r="L31" i="1"/>
  <c r="I31" i="1"/>
  <c r="E31" i="1"/>
  <c r="M30" i="1"/>
  <c r="L30" i="1"/>
  <c r="I30" i="1"/>
  <c r="E30" i="1"/>
  <c r="M29" i="1"/>
  <c r="L29" i="1"/>
  <c r="I29" i="1"/>
  <c r="E29" i="1"/>
  <c r="M28" i="1"/>
  <c r="L28" i="1"/>
  <c r="I28" i="1"/>
  <c r="E28" i="1"/>
  <c r="M27" i="1"/>
  <c r="L27" i="1"/>
  <c r="I27" i="1"/>
  <c r="E27" i="1"/>
  <c r="M26" i="1"/>
  <c r="L26" i="1"/>
  <c r="I26" i="1"/>
  <c r="E26" i="1"/>
  <c r="M25" i="1"/>
  <c r="L25" i="1"/>
  <c r="I25" i="1"/>
  <c r="E25" i="1"/>
  <c r="M24" i="1"/>
  <c r="L24" i="1"/>
  <c r="I24" i="1"/>
  <c r="E24" i="1"/>
  <c r="M23" i="1"/>
  <c r="L23" i="1"/>
  <c r="I23" i="1"/>
  <c r="E23" i="1"/>
  <c r="M22" i="1"/>
  <c r="L22" i="1"/>
  <c r="I22" i="1"/>
  <c r="E22" i="1"/>
  <c r="M21" i="1"/>
  <c r="L21" i="1"/>
  <c r="I21" i="1"/>
  <c r="E21" i="1"/>
  <c r="M20" i="1"/>
  <c r="L20" i="1"/>
  <c r="I20" i="1"/>
  <c r="E20" i="1"/>
  <c r="M19" i="1"/>
  <c r="L19" i="1"/>
  <c r="I19" i="1"/>
  <c r="E19" i="1"/>
  <c r="M18" i="1"/>
  <c r="L18" i="1"/>
  <c r="I18" i="1"/>
  <c r="E18" i="1"/>
  <c r="M17" i="1"/>
  <c r="L17" i="1"/>
  <c r="I17" i="1"/>
  <c r="E17" i="1"/>
  <c r="M16" i="1"/>
  <c r="L16" i="1"/>
  <c r="I16" i="1"/>
  <c r="E16" i="1"/>
  <c r="M15" i="1"/>
  <c r="L15" i="1"/>
  <c r="I15" i="1"/>
  <c r="E15" i="1"/>
  <c r="M14" i="1"/>
  <c r="L14" i="1"/>
  <c r="I14" i="1"/>
  <c r="E14" i="1"/>
  <c r="M13" i="1"/>
  <c r="L13" i="1"/>
  <c r="I13" i="1"/>
  <c r="E13" i="1"/>
  <c r="M12" i="1"/>
  <c r="L12" i="1"/>
  <c r="I12" i="1"/>
  <c r="E12" i="1"/>
  <c r="M11" i="1"/>
  <c r="L11" i="1"/>
  <c r="I11" i="1"/>
  <c r="E11" i="1"/>
  <c r="M10" i="1"/>
  <c r="L10" i="1"/>
  <c r="I10" i="1"/>
  <c r="E10" i="1"/>
  <c r="L9" i="1"/>
  <c r="E9" i="1"/>
  <c r="L8" i="1"/>
  <c r="I8" i="1"/>
  <c r="E8" i="1"/>
  <c r="L7" i="1"/>
  <c r="I7" i="1"/>
  <c r="E7" i="1"/>
  <c r="M6" i="1"/>
  <c r="L6" i="1"/>
  <c r="I6" i="1"/>
  <c r="E6" i="1"/>
  <c r="L37" i="1" l="1"/>
  <c r="B14" i="3" s="1"/>
  <c r="M9" i="1"/>
  <c r="I37" i="1"/>
  <c r="B11" i="3" s="1"/>
  <c r="M8" i="1"/>
  <c r="E37" i="1"/>
  <c r="B7" i="3" s="1"/>
  <c r="F37" i="1"/>
  <c r="B8" i="3" s="1"/>
  <c r="M7" i="1"/>
  <c r="K37" i="1"/>
  <c r="B13" i="3" s="1"/>
  <c r="B6" i="3" l="1"/>
  <c r="C12" i="3" s="1"/>
  <c r="M37" i="1"/>
  <c r="C14" i="3"/>
  <c r="C5" i="3"/>
  <c r="C9" i="3"/>
  <c r="C11" i="3"/>
  <c r="C7" i="3"/>
  <c r="C13" i="3"/>
  <c r="C10" i="3"/>
  <c r="C8" i="3"/>
</calcChain>
</file>

<file path=xl/sharedStrings.xml><?xml version="1.0" encoding="utf-8"?>
<sst xmlns="http://schemas.openxmlformats.org/spreadsheetml/2006/main" count="87" uniqueCount="80">
  <si>
    <t>🍽  SUIVI FINANCIER JOURNALIER — RESTAURANT</t>
  </si>
  <si>
    <t>Tableau de bord — April 2026</t>
  </si>
  <si>
    <t>DATE</t>
  </si>
  <si>
    <t>RECETTES</t>
  </si>
  <si>
    <t>DÉPENSES</t>
  </si>
  <si>
    <t>RETRAITS CARTE</t>
  </si>
  <si>
    <t>SOLDE THÉORIQUE</t>
  </si>
  <si>
    <t>OBSERVATIONS</t>
  </si>
  <si>
    <t>Date</t>
  </si>
  <si>
    <t>Recette Carte
(Z Caisse)</t>
  </si>
  <si>
    <t>Recette Espèces
(Z Caisse)</t>
  </si>
  <si>
    <t>Virement &amp;
Ticket Restau</t>
  </si>
  <si>
    <t>Total Recettes
(AUTO)</t>
  </si>
  <si>
    <t>Dépenses Caisse
(Espèces)</t>
  </si>
  <si>
    <t>Dépenses Carte
(Pro)</t>
  </si>
  <si>
    <t>Dépenses TPE</t>
  </si>
  <si>
    <t>Total Dépenses
(AUTO)</t>
  </si>
  <si>
    <t>Retraits Carte
(Pro)</t>
  </si>
  <si>
    <t>Retraits Carte
(Perso)</t>
  </si>
  <si>
    <t>Retraits Carte
(Total)
(AUTO)</t>
  </si>
  <si>
    <t>Solde Théorique
(AUTO)</t>
  </si>
  <si>
    <t>Observations</t>
  </si>
  <si>
    <t>02.04.2026</t>
  </si>
  <si>
    <t>TOTAUX MENSUELS</t>
  </si>
  <si>
    <t>LÉGENDE DES COULEURS ET INSTRUCTIONS</t>
  </si>
  <si>
    <t>COULEURS DES CELLULES</t>
  </si>
  <si>
    <t>Texte bleu</t>
  </si>
  <si>
    <t>Saisie manuelle (données à entrer par l'utilisateur)</t>
  </si>
  <si>
    <t>Texte noir gras</t>
  </si>
  <si>
    <t>Calcul automatique (ne pas modifier)</t>
  </si>
  <si>
    <t>COLONNES — DÉFINITIONS</t>
  </si>
  <si>
    <t>Date du jour (format JJ/MM/AAAA)</t>
  </si>
  <si>
    <t>Recette Carte</t>
  </si>
  <si>
    <t>Montant des recettes carte bancaire selon le Z de caisse</t>
  </si>
  <si>
    <t>Recette Espèces</t>
  </si>
  <si>
    <t>Montant des recettes espèces selon le Z de caisse</t>
  </si>
  <si>
    <t>Virement &amp; Ticket Restau</t>
  </si>
  <si>
    <t>Montant des virements et tickets restaurant reçus</t>
  </si>
  <si>
    <t>Total Recettes</t>
  </si>
  <si>
    <t>Recette Carte + Recette Espèces (calcul automatique)</t>
  </si>
  <si>
    <t>Dépenses Caisse</t>
  </si>
  <si>
    <t>Dépenses réglées en espèces, issues de la feuille du manager</t>
  </si>
  <si>
    <t>Dépenses Carte (Pro)</t>
  </si>
  <si>
    <t>Dépenses professionnelles du restaurant réglées par carte</t>
  </si>
  <si>
    <t>Dépenses réglées via le terminal de paiement électronique (TPE)</t>
  </si>
  <si>
    <t>Total Dépenses</t>
  </si>
  <si>
    <t>Dépenses Caisse + Dépenses Carte Pro + Dépenses TPE (calcul automatique)</t>
  </si>
  <si>
    <t>Retraits Carte (Total)</t>
  </si>
  <si>
    <t>Retraits Pro + Retraits Perso (calcul automatique)</t>
  </si>
  <si>
    <t>Retraits Carte (Pro)</t>
  </si>
  <si>
    <t>Part professionnelle des retraits carte (entrer la valeur)</t>
  </si>
  <si>
    <t>Retraits Carte (Perso)</t>
  </si>
  <si>
    <t>Part personnelle des retraits carte (entrer la valeur)</t>
  </si>
  <si>
    <t>Solde Théorique</t>
  </si>
  <si>
    <t>BONNES PRATIQUES</t>
  </si>
  <si>
    <t>✔</t>
  </si>
  <si>
    <t>Saisir les données chaque soir après fermeture de caisse</t>
  </si>
  <si>
    <t>Vérifier que Retraits Total = Retraits Pro + Retraits Perso</t>
  </si>
  <si>
    <t>Conserver les tickets et reçus correspondants aux dépenses carte</t>
  </si>
  <si>
    <t>Contrôler le Solde Théorique avec le solde réel du compte en banque</t>
  </si>
  <si>
    <t>Utiliser la colonne Observations pour signaler tout écart</t>
  </si>
  <si>
    <t>RÉCAPITULATIF MENSUEL</t>
  </si>
  <si>
    <t>Indicateur</t>
  </si>
  <si>
    <t>Montant (MAD)</t>
  </si>
  <si>
    <t>% du Total Recettes</t>
  </si>
  <si>
    <t>Total Recettes Carte</t>
  </si>
  <si>
    <t>Total Recettes Espèces</t>
  </si>
  <si>
    <t>Total Virement &amp; Ticket Restau</t>
  </si>
  <si>
    <t>TOTAL RECETTES</t>
  </si>
  <si>
    <t>Total Dépenses Caisse</t>
  </si>
  <si>
    <t>Total Dépenses Carte Pro</t>
  </si>
  <si>
    <t>Total Dépenses TPE</t>
  </si>
  <si>
    <t>TOTAL DÉPENSES</t>
  </si>
  <si>
    <t>Total Retraits Pro</t>
  </si>
  <si>
    <t>Total Retraits Perso</t>
  </si>
  <si>
    <t>TOTAL RETRAITS</t>
  </si>
  <si>
    <t>SOLDE THÉORIQUE MENSUEL</t>
  </si>
  <si>
    <t>03.04.2026</t>
  </si>
  <si>
    <t>04.04.2026</t>
  </si>
  <si>
    <t>05.04.2026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</si>
</sst>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MAD&quot;;\(#,##0.00&quot; MAD)&quot;;\-"/>
    <numFmt numFmtId="165" formatCode="0.0%"/>
  </numFmts>
  <fonts count="19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AAAAAA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FFFFFF"/>
      <name val="Arial"/>
      <charset val="1"/>
    </font>
    <font>
      <sz val="10"/>
      <color rgb="FF00008B"/>
      <name val="Arial"/>
      <charset val="1"/>
    </font>
    <font>
      <b/>
      <sz val="10"/>
      <color rgb="FF000000"/>
      <name val="Arial"/>
      <charset val="1"/>
    </font>
    <font>
      <sz val="10"/>
      <color rgb="FF444444"/>
      <name val="Arial"/>
      <charset val="1"/>
    </font>
    <font>
      <sz val="8"/>
      <color rgb="FF000000"/>
      <name val="Arial"/>
      <charset val="1"/>
    </font>
    <font>
      <b/>
      <sz val="12"/>
      <color rgb="FFFFFFFF"/>
      <name val="Arial"/>
      <charset val="1"/>
    </font>
    <font>
      <sz val="10"/>
      <color rgb="FF000000"/>
      <name val="Arial"/>
      <charset val="1"/>
    </font>
    <font>
      <b/>
      <sz val="14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000000"/>
      <name val="Arial"/>
    </font>
  </fonts>
  <fills count="28">
    <fill>
      <patternFill patternType="none"/>
    </fill>
    <fill>
      <patternFill patternType="gray125"/>
    </fill>
    <fill>
      <patternFill patternType="solid">
        <fgColor rgb="FF1A2E44"/>
        <bgColor rgb="FF1A237E"/>
      </patternFill>
    </fill>
    <fill>
      <patternFill patternType="solid">
        <fgColor rgb="FF1B5E20"/>
        <bgColor rgb="FF2E7D32"/>
      </patternFill>
    </fill>
    <fill>
      <patternFill patternType="solid">
        <fgColor rgb="FFB71C1C"/>
        <bgColor rgb="FFC62828"/>
      </patternFill>
    </fill>
    <fill>
      <patternFill patternType="solid">
        <fgColor rgb="FF2C4A6E"/>
        <bgColor rgb="FF444444"/>
      </patternFill>
    </fill>
    <fill>
      <patternFill patternType="solid">
        <fgColor rgb="FF2E7D32"/>
        <bgColor rgb="FF1B5E20"/>
      </patternFill>
    </fill>
    <fill>
      <patternFill patternType="solid">
        <fgColor rgb="FFC62828"/>
        <bgColor rgb="FFB71C1C"/>
      </patternFill>
    </fill>
    <fill>
      <patternFill patternType="solid">
        <fgColor rgb="FFBF360C"/>
        <bgColor rgb="FFC62828"/>
      </patternFill>
    </fill>
    <fill>
      <patternFill patternType="solid">
        <fgColor rgb="FFEBF5FB"/>
        <bgColor rgb="FFE3F2FD"/>
      </patternFill>
    </fill>
    <fill>
      <patternFill patternType="solid">
        <fgColor rgb="FFC8E6C9"/>
        <bgColor rgb="FFD6E4F0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C5CAE9"/>
        <bgColor rgb="FFD6E4F0"/>
      </patternFill>
    </fill>
    <fill>
      <patternFill patternType="solid">
        <fgColor rgb="FFFFFFFF"/>
        <bgColor rgb="FFEBF5FB"/>
      </patternFill>
    </fill>
    <fill>
      <patternFill patternType="solid">
        <fgColor rgb="FFE8F5E9"/>
        <bgColor rgb="FFEBF5FB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D6E4F0"/>
        <bgColor rgb="FFE8EAF6"/>
      </patternFill>
    </fill>
    <fill>
      <patternFill patternType="solid">
        <fgColor rgb="FFE3F2FD"/>
        <bgColor rgb="FFEBF5FB"/>
      </patternFill>
    </fill>
    <fill>
      <patternFill patternType="solid">
        <fgColor rgb="FFFFCDD2"/>
        <bgColor rgb="FFFFCDD2"/>
      </patternFill>
    </fill>
    <fill>
      <patternFill patternType="solid">
        <fgColor rgb="FF1A2E44"/>
        <bgColor rgb="FF1A2E44"/>
      </patternFill>
    </fill>
    <fill>
      <patternFill patternType="solid">
        <fgColor rgb="FFE65100"/>
        <bgColor rgb="FFE65100"/>
      </patternFill>
    </fill>
    <fill>
      <patternFill patternType="solid">
        <fgColor rgb="FF1A237E"/>
        <bgColor rgb="FF1A237E"/>
      </patternFill>
    </fill>
    <fill>
      <patternFill patternType="solid">
        <fgColor rgb="FF2C4A6E"/>
        <bgColor rgb="FF2C4A6E"/>
      </patternFill>
    </fill>
    <fill>
      <patternFill patternType="solid">
        <fgColor rgb="FF283593"/>
        <bgColor rgb="FF283593"/>
      </patternFill>
    </fill>
    <fill>
      <patternFill patternType="solid">
        <fgColor rgb="FFFFE0B2"/>
        <bgColor rgb="FFFFE0B2"/>
      </patternFill>
    </fill>
    <fill>
      <patternFill patternType="solid">
        <fgColor rgb="FFC5CAE9"/>
        <bgColor rgb="FFC5CAE9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0" fillId="5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4" fontId="6" fillId="9" borderId="3" xfId="0" applyNumberFormat="1" applyFont="1" applyFill="1" applyBorder="1" applyAlignment="1">
      <alignment horizontal="center" vertical="center"/>
    </xf>
    <xf numFmtId="164" fontId="6" fillId="10" borderId="3" xfId="0" applyNumberFormat="1" applyFont="1" applyFill="1" applyBorder="1" applyAlignment="1">
      <alignment horizontal="right" vertical="center"/>
    </xf>
    <xf numFmtId="164" fontId="7" fillId="10" borderId="1" xfId="0" applyNumberFormat="1" applyFont="1" applyFill="1" applyBorder="1" applyAlignment="1">
      <alignment horizontal="right" vertical="center"/>
    </xf>
    <xf numFmtId="164" fontId="6" fillId="11" borderId="3" xfId="0" applyNumberFormat="1" applyFont="1" applyFill="1" applyBorder="1" applyAlignment="1">
      <alignment horizontal="right" vertical="center"/>
    </xf>
    <xf numFmtId="164" fontId="6" fillId="12" borderId="3" xfId="0" applyNumberFormat="1" applyFont="1" applyFill="1" applyBorder="1" applyAlignment="1">
      <alignment horizontal="right" vertical="center"/>
    </xf>
    <xf numFmtId="0" fontId="8" fillId="9" borderId="3" xfId="0" applyFont="1" applyFill="1" applyBorder="1" applyAlignment="1">
      <alignment horizontal="left" vertical="center" wrapText="1"/>
    </xf>
    <xf numFmtId="14" fontId="6" fillId="14" borderId="3" xfId="0" applyNumberFormat="1" applyFont="1" applyFill="1" applyBorder="1" applyAlignment="1">
      <alignment horizontal="center" vertical="center"/>
    </xf>
    <xf numFmtId="164" fontId="6" fillId="15" borderId="3" xfId="0" applyNumberFormat="1" applyFont="1" applyFill="1" applyBorder="1" applyAlignment="1">
      <alignment horizontal="right" vertical="center"/>
    </xf>
    <xf numFmtId="164" fontId="7" fillId="15" borderId="1" xfId="0" applyNumberFormat="1" applyFont="1" applyFill="1" applyBorder="1" applyAlignment="1">
      <alignment horizontal="right" vertical="center"/>
    </xf>
    <xf numFmtId="164" fontId="6" fillId="16" borderId="3" xfId="0" applyNumberFormat="1" applyFont="1" applyFill="1" applyBorder="1" applyAlignment="1">
      <alignment horizontal="right" vertical="center"/>
    </xf>
    <xf numFmtId="164" fontId="6" fillId="17" borderId="3" xfId="0" applyNumberFormat="1" applyFont="1" applyFill="1" applyBorder="1" applyAlignment="1">
      <alignment horizontal="right" vertical="center"/>
    </xf>
    <xf numFmtId="0" fontId="8" fillId="14" borderId="3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11" fillId="18" borderId="3" xfId="0" applyFont="1" applyFill="1" applyBorder="1" applyAlignment="1">
      <alignment horizontal="left" vertical="center" wrapText="1"/>
    </xf>
    <xf numFmtId="0" fontId="11" fillId="15" borderId="3" xfId="0" applyFont="1" applyFill="1" applyBorder="1" applyAlignment="1">
      <alignment horizontal="left" vertical="center" wrapText="1"/>
    </xf>
    <xf numFmtId="0" fontId="11" fillId="14" borderId="3" xfId="0" applyFont="1" applyFill="1" applyBorder="1" applyAlignment="1">
      <alignment horizontal="left" vertical="center" wrapText="1"/>
    </xf>
    <xf numFmtId="0" fontId="11" fillId="10" borderId="3" xfId="0" applyFont="1" applyFill="1" applyBorder="1" applyAlignment="1">
      <alignment horizontal="left" vertical="center" wrapText="1"/>
    </xf>
    <xf numFmtId="0" fontId="11" fillId="16" borderId="3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/>
    </xf>
    <xf numFmtId="0" fontId="13" fillId="19" borderId="3" xfId="0" applyFont="1" applyFill="1" applyBorder="1" applyAlignment="1">
      <alignment horizontal="left" vertical="center"/>
    </xf>
    <xf numFmtId="164" fontId="13" fillId="19" borderId="3" xfId="0" applyNumberFormat="1" applyFont="1" applyFill="1" applyBorder="1" applyAlignment="1">
      <alignment horizontal="right"/>
    </xf>
    <xf numFmtId="165" fontId="13" fillId="19" borderId="3" xfId="0" applyNumberFormat="1" applyFont="1" applyFill="1" applyBorder="1" applyAlignment="1">
      <alignment horizontal="center"/>
    </xf>
    <xf numFmtId="0" fontId="14" fillId="18" borderId="3" xfId="0" applyFont="1" applyFill="1" applyBorder="1" applyAlignment="1">
      <alignment horizontal="left" vertical="center"/>
    </xf>
    <xf numFmtId="164" fontId="14" fillId="18" borderId="3" xfId="0" applyNumberFormat="1" applyFont="1" applyFill="1" applyBorder="1" applyAlignment="1">
      <alignment horizontal="right"/>
    </xf>
    <xf numFmtId="165" fontId="13" fillId="18" borderId="3" xfId="0" applyNumberFormat="1" applyFont="1" applyFill="1" applyBorder="1" applyAlignment="1">
      <alignment horizontal="center"/>
    </xf>
    <xf numFmtId="0" fontId="0" fillId="0" borderId="5" xfId="0" applyBorder="1"/>
    <xf numFmtId="0" fontId="16" fillId="23" borderId="6" xfId="0" applyFont="1" applyFill="1" applyBorder="1" applyAlignment="1">
      <alignment horizontal="center" vertical="center"/>
    </xf>
    <xf numFmtId="0" fontId="16" fillId="24" borderId="6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25" borderId="6" xfId="0" applyFont="1" applyFill="1" applyBorder="1" applyAlignment="1">
      <alignment horizontal="center" vertical="center" wrapText="1"/>
    </xf>
    <xf numFmtId="0" fontId="15" fillId="24" borderId="6" xfId="0" applyFont="1" applyFill="1" applyBorder="1" applyAlignment="1">
      <alignment horizontal="center" vertical="center" wrapText="1"/>
    </xf>
    <xf numFmtId="164" fontId="18" fillId="20" borderId="6" xfId="0" applyNumberFormat="1" applyFont="1" applyFill="1" applyBorder="1" applyAlignment="1">
      <alignment horizontal="right" vertical="center"/>
    </xf>
    <xf numFmtId="164" fontId="18" fillId="26" borderId="6" xfId="0" applyNumberFormat="1" applyFont="1" applyFill="1" applyBorder="1" applyAlignment="1">
      <alignment horizontal="right" vertical="center"/>
    </xf>
    <xf numFmtId="164" fontId="18" fillId="27" borderId="6" xfId="0" applyNumberFormat="1" applyFont="1" applyFill="1" applyBorder="1" applyAlignment="1">
      <alignment horizontal="right" vertical="center"/>
    </xf>
    <xf numFmtId="164" fontId="16" fillId="21" borderId="6" xfId="0" applyNumberFormat="1" applyFont="1" applyFill="1" applyBorder="1" applyAlignment="1">
      <alignment horizontal="right" vertical="center"/>
    </xf>
    <xf numFmtId="0" fontId="16" fillId="21" borderId="6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0" fillId="0" borderId="4" xfId="0" applyBorder="1"/>
    <xf numFmtId="0" fontId="3" fillId="4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6" fillId="22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2" borderId="0" xfId="0" applyFont="1" applyFill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0" fillId="0" borderId="5" xfId="0" applyBorder="1"/>
    <xf numFmtId="0" fontId="10" fillId="5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B"/>
      <rgbColor rgb="FF808000"/>
      <rgbColor rgb="FF800080"/>
      <rgbColor rgb="FF008080"/>
      <rgbColor rgb="FFD6E4F0"/>
      <rgbColor rgb="FF808080"/>
      <rgbColor rgb="FF9999FF"/>
      <rgbColor rgb="FFC62828"/>
      <rgbColor rgb="FFFFF3E0"/>
      <rgbColor rgb="FFE3F2FD"/>
      <rgbColor rgb="FF660066"/>
      <rgbColor rgb="FFFF8080"/>
      <rgbColor rgb="FF0066CC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EBEE"/>
      <rgbColor rgb="FFE8EAF6"/>
      <rgbColor rgb="FFFFCDD2"/>
      <rgbColor rgb="FFEBF5FB"/>
      <rgbColor rgb="FFFFE0B2"/>
      <rgbColor rgb="FF3366FF"/>
      <rgbColor rgb="FF33CCCC"/>
      <rgbColor rgb="FF99CC00"/>
      <rgbColor rgb="FFFFCC00"/>
      <rgbColor rgb="FFFF9900"/>
      <rgbColor rgb="FFE65100"/>
      <rgbColor rgb="FF2C4A6E"/>
      <rgbColor rgb="FFAAAAAA"/>
      <rgbColor rgb="FF1A237E"/>
      <rgbColor rgb="FF2E7D32"/>
      <rgbColor rgb="FF003300"/>
      <rgbColor rgb="FF444444"/>
      <rgbColor rgb="FFBF360C"/>
      <rgbColor rgb="FFB71C1C"/>
      <rgbColor rgb="FF283593"/>
      <rgbColor rgb="FF1A2E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zoomScale="72" zoomScaleNormal="100" workbookViewId="0">
      <pane ySplit="5" topLeftCell="A6" activePane="bottomLeft" state="frozen"/>
      <selection pane="bottomLeft" activeCell="M9" sqref="M9"/>
    </sheetView>
  </sheetViews>
  <sheetFormatPr baseColWidth="10" defaultColWidth="8.6640625" defaultRowHeight="15"/>
  <cols>
    <col min="1" max="1" width="14" customWidth="1"/>
    <col min="2" max="2" width="17" customWidth="1"/>
    <col min="3" max="3" width="18" customWidth="1"/>
    <col min="4" max="4" width="17" customWidth="1"/>
    <col min="5" max="6" width="18" customWidth="1"/>
    <col min="7" max="7" width="13" customWidth="1"/>
    <col min="8" max="8" width="15" customWidth="1"/>
    <col min="9" max="9" width="14" customWidth="1"/>
    <col min="10" max="10" width="20" customWidth="1"/>
    <col min="11" max="11" width="16" customWidth="1"/>
    <col min="12" max="13" width="20" customWidth="1"/>
    <col min="14" max="14" width="30" customWidth="1"/>
  </cols>
  <sheetData>
    <row r="1" spans="1:14" ht="36" customHeight="1">
      <c r="A1" s="55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19.5" customHeight="1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4" ht="7.5" customHeight="1"/>
    <row r="4" spans="1:14" ht="21.75" customHeight="1">
      <c r="A4" s="2" t="s">
        <v>2</v>
      </c>
      <c r="B4" s="47" t="s">
        <v>3</v>
      </c>
      <c r="C4" s="48"/>
      <c r="D4" s="48"/>
      <c r="E4" s="48"/>
      <c r="F4" s="49" t="s">
        <v>4</v>
      </c>
      <c r="G4" s="48"/>
      <c r="H4" s="48"/>
      <c r="I4" s="48"/>
      <c r="J4" s="52" t="s">
        <v>5</v>
      </c>
      <c r="K4" s="53"/>
      <c r="L4" s="54"/>
      <c r="M4" s="36" t="s">
        <v>6</v>
      </c>
      <c r="N4" s="37" t="s">
        <v>7</v>
      </c>
    </row>
    <row r="5" spans="1:14" ht="37.5" customHeight="1">
      <c r="A5" s="3" t="s">
        <v>8</v>
      </c>
      <c r="B5" s="4" t="s">
        <v>9</v>
      </c>
      <c r="C5" s="4" t="s">
        <v>10</v>
      </c>
      <c r="D5" s="4" t="s">
        <v>11</v>
      </c>
      <c r="E5" s="3" t="s">
        <v>12</v>
      </c>
      <c r="F5" s="5" t="s">
        <v>13</v>
      </c>
      <c r="G5" s="5" t="s">
        <v>14</v>
      </c>
      <c r="H5" s="5" t="s">
        <v>15</v>
      </c>
      <c r="I5" s="38" t="s">
        <v>16</v>
      </c>
      <c r="J5" s="6" t="s">
        <v>17</v>
      </c>
      <c r="K5" s="6" t="s">
        <v>18</v>
      </c>
      <c r="L5" s="39" t="s">
        <v>19</v>
      </c>
      <c r="M5" s="40" t="s">
        <v>20</v>
      </c>
      <c r="N5" s="41" t="s">
        <v>21</v>
      </c>
    </row>
    <row r="6" spans="1:14" ht="19.5" customHeight="1">
      <c r="A6" s="7" t="s">
        <v>22</v>
      </c>
      <c r="B6" s="8">
        <v>4580</v>
      </c>
      <c r="C6" s="8">
        <v>4060</v>
      </c>
      <c r="D6" s="8"/>
      <c r="E6" s="9">
        <f t="shared" ref="E6:E36" si="0">SUM(B6:D6)</f>
        <v>8640</v>
      </c>
      <c r="F6" s="10">
        <v>2040.88</v>
      </c>
      <c r="G6" s="10"/>
      <c r="H6" s="10"/>
      <c r="I6" s="42">
        <f t="shared" ref="I6:I36" si="1">SUM(F6:H6)</f>
        <v>2040.88</v>
      </c>
      <c r="J6" s="11"/>
      <c r="K6" s="11">
        <v>2000</v>
      </c>
      <c r="L6" s="43">
        <f t="shared" ref="L6:L36" si="2">SUM(J6:K6)</f>
        <v>2000</v>
      </c>
      <c r="M6" s="44">
        <f t="shared" ref="M6:M36" si="3">E6-(I6+L6)</f>
        <v>4599.12</v>
      </c>
      <c r="N6" s="12"/>
    </row>
    <row r="7" spans="1:14" ht="19.5" customHeight="1">
      <c r="A7" s="13" t="s">
        <v>77</v>
      </c>
      <c r="B7" s="14">
        <v>6655</v>
      </c>
      <c r="C7" s="14">
        <v>3710</v>
      </c>
      <c r="D7" s="8">
        <v>3455</v>
      </c>
      <c r="E7" s="15">
        <f t="shared" si="0"/>
        <v>13820</v>
      </c>
      <c r="F7" s="16">
        <v>2945</v>
      </c>
      <c r="G7" s="16"/>
      <c r="H7" s="16"/>
      <c r="I7" s="42">
        <f t="shared" si="1"/>
        <v>2945</v>
      </c>
      <c r="J7" s="17"/>
      <c r="K7" s="17">
        <v>2000</v>
      </c>
      <c r="L7" s="43">
        <f t="shared" si="2"/>
        <v>2000</v>
      </c>
      <c r="M7" s="44">
        <f t="shared" si="3"/>
        <v>8875</v>
      </c>
      <c r="N7" s="18"/>
    </row>
    <row r="8" spans="1:14" ht="19.5" customHeight="1">
      <c r="A8" s="7" t="s">
        <v>78</v>
      </c>
      <c r="B8" s="8">
        <v>3310</v>
      </c>
      <c r="C8" s="8">
        <v>2565</v>
      </c>
      <c r="D8" s="8"/>
      <c r="E8" s="9">
        <f t="shared" si="0"/>
        <v>5875</v>
      </c>
      <c r="F8" s="10">
        <v>4195.63</v>
      </c>
      <c r="G8" s="10"/>
      <c r="H8" s="10"/>
      <c r="I8" s="42">
        <f t="shared" si="1"/>
        <v>4195.63</v>
      </c>
      <c r="J8" s="11">
        <v>2600</v>
      </c>
      <c r="K8" s="11">
        <v>400</v>
      </c>
      <c r="L8" s="43">
        <f t="shared" si="2"/>
        <v>3000</v>
      </c>
      <c r="M8" s="44">
        <f t="shared" si="3"/>
        <v>-1320.63</v>
      </c>
      <c r="N8" s="12"/>
    </row>
    <row r="9" spans="1:14" ht="19.5" customHeight="1">
      <c r="A9" s="13" t="s">
        <v>79</v>
      </c>
      <c r="B9" s="14">
        <v>4305</v>
      </c>
      <c r="C9" s="14">
        <v>1300</v>
      </c>
      <c r="D9" s="8"/>
      <c r="E9" s="15">
        <f t="shared" si="0"/>
        <v>5605</v>
      </c>
      <c r="F9" s="16">
        <v>1175.5</v>
      </c>
      <c r="G9" s="16"/>
      <c r="H9" s="16"/>
      <c r="I9" s="42">
        <v>1175.5</v>
      </c>
      <c r="J9" s="17"/>
      <c r="K9" s="17"/>
      <c r="L9" s="43">
        <f t="shared" si="2"/>
        <v>0</v>
      </c>
      <c r="M9" s="44">
        <f t="shared" si="3"/>
        <v>4429.5</v>
      </c>
      <c r="N9" s="18"/>
    </row>
    <row r="10" spans="1:14" ht="19.5" customHeight="1">
      <c r="A10" s="7"/>
      <c r="B10" s="8"/>
      <c r="C10" s="8"/>
      <c r="D10" s="8"/>
      <c r="E10" s="9">
        <f t="shared" si="0"/>
        <v>0</v>
      </c>
      <c r="F10" s="10"/>
      <c r="G10" s="10"/>
      <c r="H10" s="10"/>
      <c r="I10" s="42">
        <f t="shared" si="1"/>
        <v>0</v>
      </c>
      <c r="J10" s="11"/>
      <c r="K10" s="11"/>
      <c r="L10" s="43">
        <f t="shared" si="2"/>
        <v>0</v>
      </c>
      <c r="M10" s="44">
        <f t="shared" si="3"/>
        <v>0</v>
      </c>
      <c r="N10" s="12"/>
    </row>
    <row r="11" spans="1:14" ht="19.5" customHeight="1">
      <c r="A11" s="13"/>
      <c r="B11" s="14"/>
      <c r="C11" s="14"/>
      <c r="D11" s="8"/>
      <c r="E11" s="15">
        <f t="shared" si="0"/>
        <v>0</v>
      </c>
      <c r="F11" s="16"/>
      <c r="G11" s="16"/>
      <c r="H11" s="16"/>
      <c r="I11" s="42">
        <f t="shared" si="1"/>
        <v>0</v>
      </c>
      <c r="J11" s="17"/>
      <c r="K11" s="17"/>
      <c r="L11" s="43">
        <f t="shared" si="2"/>
        <v>0</v>
      </c>
      <c r="M11" s="44">
        <f t="shared" si="3"/>
        <v>0</v>
      </c>
      <c r="N11" s="18"/>
    </row>
    <row r="12" spans="1:14" ht="19.5" customHeight="1">
      <c r="A12" s="7"/>
      <c r="B12" s="8"/>
      <c r="C12" s="8"/>
      <c r="D12" s="8"/>
      <c r="E12" s="9">
        <f t="shared" si="0"/>
        <v>0</v>
      </c>
      <c r="F12" s="10"/>
      <c r="G12" s="10"/>
      <c r="H12" s="10"/>
      <c r="I12" s="42">
        <f t="shared" si="1"/>
        <v>0</v>
      </c>
      <c r="J12" s="11"/>
      <c r="K12" s="11"/>
      <c r="L12" s="43">
        <f t="shared" si="2"/>
        <v>0</v>
      </c>
      <c r="M12" s="44">
        <f t="shared" si="3"/>
        <v>0</v>
      </c>
      <c r="N12" s="12"/>
    </row>
    <row r="13" spans="1:14" ht="19.5" customHeight="1">
      <c r="A13" s="13"/>
      <c r="B13" s="14"/>
      <c r="C13" s="14"/>
      <c r="D13" s="8"/>
      <c r="E13" s="15">
        <f t="shared" si="0"/>
        <v>0</v>
      </c>
      <c r="F13" s="16"/>
      <c r="G13" s="16"/>
      <c r="H13" s="16"/>
      <c r="I13" s="42">
        <f t="shared" si="1"/>
        <v>0</v>
      </c>
      <c r="J13" s="17"/>
      <c r="K13" s="17"/>
      <c r="L13" s="43">
        <f t="shared" si="2"/>
        <v>0</v>
      </c>
      <c r="M13" s="44">
        <f t="shared" si="3"/>
        <v>0</v>
      </c>
      <c r="N13" s="18"/>
    </row>
    <row r="14" spans="1:14" ht="19.5" customHeight="1">
      <c r="A14" s="7"/>
      <c r="B14" s="8"/>
      <c r="C14" s="8"/>
      <c r="D14" s="8"/>
      <c r="E14" s="9">
        <f t="shared" si="0"/>
        <v>0</v>
      </c>
      <c r="F14" s="10"/>
      <c r="G14" s="10"/>
      <c r="H14" s="10"/>
      <c r="I14" s="42">
        <f t="shared" si="1"/>
        <v>0</v>
      </c>
      <c r="J14" s="11"/>
      <c r="K14" s="11"/>
      <c r="L14" s="43">
        <f t="shared" si="2"/>
        <v>0</v>
      </c>
      <c r="M14" s="44">
        <f t="shared" si="3"/>
        <v>0</v>
      </c>
      <c r="N14" s="12"/>
    </row>
    <row r="15" spans="1:14" ht="19.5" customHeight="1">
      <c r="A15" s="13"/>
      <c r="B15" s="14"/>
      <c r="C15" s="14"/>
      <c r="D15" s="8"/>
      <c r="E15" s="15">
        <f t="shared" si="0"/>
        <v>0</v>
      </c>
      <c r="F15" s="16"/>
      <c r="G15" s="16"/>
      <c r="H15" s="16"/>
      <c r="I15" s="42">
        <f t="shared" si="1"/>
        <v>0</v>
      </c>
      <c r="J15" s="17"/>
      <c r="K15" s="17"/>
      <c r="L15" s="43">
        <f t="shared" si="2"/>
        <v>0</v>
      </c>
      <c r="M15" s="44">
        <f t="shared" si="3"/>
        <v>0</v>
      </c>
      <c r="N15" s="18"/>
    </row>
    <row r="16" spans="1:14" ht="19.5" customHeight="1">
      <c r="A16" s="7"/>
      <c r="B16" s="8"/>
      <c r="C16" s="8"/>
      <c r="D16" s="8"/>
      <c r="E16" s="9">
        <f t="shared" si="0"/>
        <v>0</v>
      </c>
      <c r="F16" s="10"/>
      <c r="G16" s="10"/>
      <c r="H16" s="10"/>
      <c r="I16" s="42">
        <f t="shared" si="1"/>
        <v>0</v>
      </c>
      <c r="J16" s="11"/>
      <c r="K16" s="11"/>
      <c r="L16" s="43">
        <f t="shared" si="2"/>
        <v>0</v>
      </c>
      <c r="M16" s="44">
        <f t="shared" si="3"/>
        <v>0</v>
      </c>
      <c r="N16" s="12"/>
    </row>
    <row r="17" spans="1:14" ht="19.5" customHeight="1">
      <c r="A17" s="13"/>
      <c r="B17" s="14"/>
      <c r="C17" s="14"/>
      <c r="D17" s="8"/>
      <c r="E17" s="15">
        <f t="shared" si="0"/>
        <v>0</v>
      </c>
      <c r="F17" s="16"/>
      <c r="G17" s="16"/>
      <c r="H17" s="16"/>
      <c r="I17" s="42">
        <f t="shared" si="1"/>
        <v>0</v>
      </c>
      <c r="J17" s="17"/>
      <c r="K17" s="17"/>
      <c r="L17" s="43">
        <f t="shared" si="2"/>
        <v>0</v>
      </c>
      <c r="M17" s="44">
        <f t="shared" si="3"/>
        <v>0</v>
      </c>
      <c r="N17" s="18"/>
    </row>
    <row r="18" spans="1:14" ht="19.5" customHeight="1">
      <c r="A18" s="7"/>
      <c r="B18" s="8"/>
      <c r="C18" s="8"/>
      <c r="D18" s="8"/>
      <c r="E18" s="9">
        <f t="shared" si="0"/>
        <v>0</v>
      </c>
      <c r="F18" s="10"/>
      <c r="G18" s="10"/>
      <c r="H18" s="10"/>
      <c r="I18" s="42">
        <f t="shared" si="1"/>
        <v>0</v>
      </c>
      <c r="J18" s="11"/>
      <c r="K18" s="11"/>
      <c r="L18" s="43">
        <f t="shared" si="2"/>
        <v>0</v>
      </c>
      <c r="M18" s="44">
        <f t="shared" si="3"/>
        <v>0</v>
      </c>
      <c r="N18" s="12"/>
    </row>
    <row r="19" spans="1:14" ht="19.5" customHeight="1">
      <c r="A19" s="13"/>
      <c r="B19" s="14"/>
      <c r="C19" s="14"/>
      <c r="D19" s="8"/>
      <c r="E19" s="15">
        <f t="shared" si="0"/>
        <v>0</v>
      </c>
      <c r="F19" s="16"/>
      <c r="G19" s="16"/>
      <c r="H19" s="16"/>
      <c r="I19" s="42">
        <f t="shared" si="1"/>
        <v>0</v>
      </c>
      <c r="J19" s="17"/>
      <c r="K19" s="17"/>
      <c r="L19" s="43">
        <f t="shared" si="2"/>
        <v>0</v>
      </c>
      <c r="M19" s="44">
        <f t="shared" si="3"/>
        <v>0</v>
      </c>
      <c r="N19" s="18"/>
    </row>
    <row r="20" spans="1:14" ht="19.5" customHeight="1">
      <c r="A20" s="7"/>
      <c r="B20" s="8"/>
      <c r="C20" s="8"/>
      <c r="D20" s="8"/>
      <c r="E20" s="9">
        <f t="shared" si="0"/>
        <v>0</v>
      </c>
      <c r="F20" s="10"/>
      <c r="G20" s="10"/>
      <c r="H20" s="10"/>
      <c r="I20" s="42">
        <f t="shared" si="1"/>
        <v>0</v>
      </c>
      <c r="J20" s="11"/>
      <c r="K20" s="11"/>
      <c r="L20" s="43">
        <f t="shared" si="2"/>
        <v>0</v>
      </c>
      <c r="M20" s="44">
        <f t="shared" si="3"/>
        <v>0</v>
      </c>
      <c r="N20" s="12"/>
    </row>
    <row r="21" spans="1:14" ht="19.5" customHeight="1">
      <c r="A21" s="13"/>
      <c r="B21" s="14"/>
      <c r="C21" s="14"/>
      <c r="D21" s="8"/>
      <c r="E21" s="15">
        <f t="shared" si="0"/>
        <v>0</v>
      </c>
      <c r="F21" s="16"/>
      <c r="G21" s="16"/>
      <c r="H21" s="16"/>
      <c r="I21" s="42">
        <f t="shared" si="1"/>
        <v>0</v>
      </c>
      <c r="J21" s="17"/>
      <c r="K21" s="17"/>
      <c r="L21" s="43">
        <f t="shared" si="2"/>
        <v>0</v>
      </c>
      <c r="M21" s="44">
        <f t="shared" si="3"/>
        <v>0</v>
      </c>
      <c r="N21" s="18"/>
    </row>
    <row r="22" spans="1:14" ht="19.5" customHeight="1">
      <c r="A22" s="7"/>
      <c r="B22" s="8"/>
      <c r="C22" s="8"/>
      <c r="D22" s="8"/>
      <c r="E22" s="9">
        <f t="shared" si="0"/>
        <v>0</v>
      </c>
      <c r="F22" s="10"/>
      <c r="G22" s="10"/>
      <c r="H22" s="10"/>
      <c r="I22" s="42">
        <f t="shared" si="1"/>
        <v>0</v>
      </c>
      <c r="J22" s="11"/>
      <c r="K22" s="11"/>
      <c r="L22" s="43">
        <f t="shared" si="2"/>
        <v>0</v>
      </c>
      <c r="M22" s="44">
        <f t="shared" si="3"/>
        <v>0</v>
      </c>
      <c r="N22" s="12"/>
    </row>
    <row r="23" spans="1:14" ht="19.5" customHeight="1">
      <c r="A23" s="13"/>
      <c r="B23" s="14"/>
      <c r="C23" s="14"/>
      <c r="D23" s="8"/>
      <c r="E23" s="15">
        <f t="shared" si="0"/>
        <v>0</v>
      </c>
      <c r="F23" s="16"/>
      <c r="G23" s="16"/>
      <c r="H23" s="16"/>
      <c r="I23" s="42">
        <f t="shared" si="1"/>
        <v>0</v>
      </c>
      <c r="J23" s="17"/>
      <c r="K23" s="17"/>
      <c r="L23" s="43">
        <f t="shared" si="2"/>
        <v>0</v>
      </c>
      <c r="M23" s="44">
        <f t="shared" si="3"/>
        <v>0</v>
      </c>
      <c r="N23" s="18"/>
    </row>
    <row r="24" spans="1:14" ht="19.5" customHeight="1">
      <c r="A24" s="7"/>
      <c r="B24" s="8"/>
      <c r="C24" s="8"/>
      <c r="D24" s="8"/>
      <c r="E24" s="9">
        <f t="shared" si="0"/>
        <v>0</v>
      </c>
      <c r="F24" s="10"/>
      <c r="G24" s="10"/>
      <c r="H24" s="10"/>
      <c r="I24" s="42">
        <f t="shared" si="1"/>
        <v>0</v>
      </c>
      <c r="J24" s="11"/>
      <c r="K24" s="11"/>
      <c r="L24" s="43">
        <f t="shared" si="2"/>
        <v>0</v>
      </c>
      <c r="M24" s="44">
        <f t="shared" si="3"/>
        <v>0</v>
      </c>
      <c r="N24" s="12"/>
    </row>
    <row r="25" spans="1:14" ht="19.5" customHeight="1">
      <c r="A25" s="13"/>
      <c r="B25" s="14"/>
      <c r="C25" s="14"/>
      <c r="D25" s="8"/>
      <c r="E25" s="15">
        <f t="shared" si="0"/>
        <v>0</v>
      </c>
      <c r="F25" s="16"/>
      <c r="G25" s="16"/>
      <c r="H25" s="16"/>
      <c r="I25" s="42">
        <f t="shared" si="1"/>
        <v>0</v>
      </c>
      <c r="J25" s="17"/>
      <c r="K25" s="17"/>
      <c r="L25" s="43">
        <f t="shared" si="2"/>
        <v>0</v>
      </c>
      <c r="M25" s="44">
        <f t="shared" si="3"/>
        <v>0</v>
      </c>
      <c r="N25" s="18"/>
    </row>
    <row r="26" spans="1:14" ht="19.5" customHeight="1">
      <c r="A26" s="7"/>
      <c r="B26" s="8"/>
      <c r="C26" s="8"/>
      <c r="D26" s="8"/>
      <c r="E26" s="9">
        <f t="shared" si="0"/>
        <v>0</v>
      </c>
      <c r="F26" s="10"/>
      <c r="G26" s="10"/>
      <c r="H26" s="10"/>
      <c r="I26" s="42">
        <f t="shared" si="1"/>
        <v>0</v>
      </c>
      <c r="J26" s="11"/>
      <c r="K26" s="11"/>
      <c r="L26" s="43">
        <f t="shared" si="2"/>
        <v>0</v>
      </c>
      <c r="M26" s="44">
        <f t="shared" si="3"/>
        <v>0</v>
      </c>
      <c r="N26" s="12"/>
    </row>
    <row r="27" spans="1:14" ht="19.5" customHeight="1">
      <c r="A27" s="13"/>
      <c r="B27" s="14"/>
      <c r="C27" s="14"/>
      <c r="D27" s="8"/>
      <c r="E27" s="15">
        <f t="shared" si="0"/>
        <v>0</v>
      </c>
      <c r="F27" s="16"/>
      <c r="G27" s="16"/>
      <c r="H27" s="16"/>
      <c r="I27" s="42">
        <f t="shared" si="1"/>
        <v>0</v>
      </c>
      <c r="J27" s="17"/>
      <c r="K27" s="17"/>
      <c r="L27" s="43">
        <f t="shared" si="2"/>
        <v>0</v>
      </c>
      <c r="M27" s="44">
        <f t="shared" si="3"/>
        <v>0</v>
      </c>
      <c r="N27" s="18"/>
    </row>
    <row r="28" spans="1:14" ht="19.5" customHeight="1">
      <c r="A28" s="7"/>
      <c r="B28" s="8"/>
      <c r="C28" s="8"/>
      <c r="D28" s="8"/>
      <c r="E28" s="9">
        <f t="shared" si="0"/>
        <v>0</v>
      </c>
      <c r="F28" s="10"/>
      <c r="G28" s="10"/>
      <c r="H28" s="10"/>
      <c r="I28" s="42">
        <f t="shared" si="1"/>
        <v>0</v>
      </c>
      <c r="J28" s="11"/>
      <c r="K28" s="11"/>
      <c r="L28" s="43">
        <f t="shared" si="2"/>
        <v>0</v>
      </c>
      <c r="M28" s="44">
        <f t="shared" si="3"/>
        <v>0</v>
      </c>
      <c r="N28" s="12"/>
    </row>
    <row r="29" spans="1:14" ht="19.5" customHeight="1">
      <c r="A29" s="13"/>
      <c r="B29" s="14"/>
      <c r="C29" s="14"/>
      <c r="D29" s="8"/>
      <c r="E29" s="15">
        <f t="shared" si="0"/>
        <v>0</v>
      </c>
      <c r="F29" s="16"/>
      <c r="G29" s="16"/>
      <c r="H29" s="16"/>
      <c r="I29" s="42">
        <f t="shared" si="1"/>
        <v>0</v>
      </c>
      <c r="J29" s="17"/>
      <c r="K29" s="17"/>
      <c r="L29" s="43">
        <f t="shared" si="2"/>
        <v>0</v>
      </c>
      <c r="M29" s="44">
        <f t="shared" si="3"/>
        <v>0</v>
      </c>
      <c r="N29" s="18"/>
    </row>
    <row r="30" spans="1:14" ht="19.5" customHeight="1">
      <c r="A30" s="7"/>
      <c r="B30" s="8"/>
      <c r="C30" s="8"/>
      <c r="D30" s="8"/>
      <c r="E30" s="9">
        <f t="shared" si="0"/>
        <v>0</v>
      </c>
      <c r="F30" s="10"/>
      <c r="G30" s="10"/>
      <c r="H30" s="10"/>
      <c r="I30" s="42">
        <f t="shared" si="1"/>
        <v>0</v>
      </c>
      <c r="J30" s="11"/>
      <c r="K30" s="11"/>
      <c r="L30" s="43">
        <f t="shared" si="2"/>
        <v>0</v>
      </c>
      <c r="M30" s="44">
        <f t="shared" si="3"/>
        <v>0</v>
      </c>
      <c r="N30" s="12"/>
    </row>
    <row r="31" spans="1:14" ht="19.5" customHeight="1">
      <c r="A31" s="13"/>
      <c r="B31" s="14"/>
      <c r="C31" s="14"/>
      <c r="D31" s="8"/>
      <c r="E31" s="15">
        <f t="shared" si="0"/>
        <v>0</v>
      </c>
      <c r="F31" s="16"/>
      <c r="G31" s="16"/>
      <c r="H31" s="16"/>
      <c r="I31" s="42">
        <f t="shared" si="1"/>
        <v>0</v>
      </c>
      <c r="J31" s="17"/>
      <c r="K31" s="17"/>
      <c r="L31" s="43">
        <f t="shared" si="2"/>
        <v>0</v>
      </c>
      <c r="M31" s="44">
        <f t="shared" si="3"/>
        <v>0</v>
      </c>
      <c r="N31" s="18"/>
    </row>
    <row r="32" spans="1:14" ht="19.5" customHeight="1">
      <c r="A32" s="7"/>
      <c r="B32" s="8"/>
      <c r="C32" s="8"/>
      <c r="D32" s="8"/>
      <c r="E32" s="9">
        <f t="shared" si="0"/>
        <v>0</v>
      </c>
      <c r="F32" s="10"/>
      <c r="G32" s="10"/>
      <c r="H32" s="10"/>
      <c r="I32" s="42">
        <f t="shared" si="1"/>
        <v>0</v>
      </c>
      <c r="J32" s="11"/>
      <c r="K32" s="11"/>
      <c r="L32" s="43">
        <f t="shared" si="2"/>
        <v>0</v>
      </c>
      <c r="M32" s="44">
        <f t="shared" si="3"/>
        <v>0</v>
      </c>
      <c r="N32" s="12"/>
    </row>
    <row r="33" spans="1:14" ht="19.5" customHeight="1">
      <c r="A33" s="13"/>
      <c r="B33" s="14"/>
      <c r="C33" s="14"/>
      <c r="D33" s="8"/>
      <c r="E33" s="15">
        <f t="shared" si="0"/>
        <v>0</v>
      </c>
      <c r="F33" s="16"/>
      <c r="G33" s="16"/>
      <c r="H33" s="16"/>
      <c r="I33" s="42">
        <f t="shared" si="1"/>
        <v>0</v>
      </c>
      <c r="J33" s="17"/>
      <c r="K33" s="17"/>
      <c r="L33" s="43">
        <f t="shared" si="2"/>
        <v>0</v>
      </c>
      <c r="M33" s="44">
        <f t="shared" si="3"/>
        <v>0</v>
      </c>
      <c r="N33" s="18"/>
    </row>
    <row r="34" spans="1:14" ht="19.5" customHeight="1">
      <c r="A34" s="7"/>
      <c r="B34" s="8"/>
      <c r="C34" s="8"/>
      <c r="D34" s="8"/>
      <c r="E34" s="9">
        <f t="shared" si="0"/>
        <v>0</v>
      </c>
      <c r="F34" s="10"/>
      <c r="G34" s="10"/>
      <c r="H34" s="10"/>
      <c r="I34" s="42">
        <f t="shared" si="1"/>
        <v>0</v>
      </c>
      <c r="J34" s="11"/>
      <c r="K34" s="11"/>
      <c r="L34" s="43">
        <f t="shared" si="2"/>
        <v>0</v>
      </c>
      <c r="M34" s="44">
        <f t="shared" si="3"/>
        <v>0</v>
      </c>
      <c r="N34" s="12"/>
    </row>
    <row r="35" spans="1:14" ht="19.5" customHeight="1">
      <c r="A35" s="13"/>
      <c r="B35" s="14"/>
      <c r="C35" s="14"/>
      <c r="D35" s="8"/>
      <c r="E35" s="15">
        <f t="shared" si="0"/>
        <v>0</v>
      </c>
      <c r="F35" s="16"/>
      <c r="G35" s="16"/>
      <c r="H35" s="16"/>
      <c r="I35" s="42">
        <f t="shared" si="1"/>
        <v>0</v>
      </c>
      <c r="J35" s="17"/>
      <c r="K35" s="17"/>
      <c r="L35" s="43">
        <f t="shared" si="2"/>
        <v>0</v>
      </c>
      <c r="M35" s="44">
        <f t="shared" si="3"/>
        <v>0</v>
      </c>
      <c r="N35" s="18"/>
    </row>
    <row r="36" spans="1:14" ht="19.5" customHeight="1">
      <c r="A36" s="7"/>
      <c r="B36" s="8"/>
      <c r="C36" s="8"/>
      <c r="D36" s="8"/>
      <c r="E36" s="9">
        <f t="shared" si="0"/>
        <v>0</v>
      </c>
      <c r="F36" s="10"/>
      <c r="G36" s="10"/>
      <c r="H36" s="10"/>
      <c r="I36" s="42">
        <f t="shared" si="1"/>
        <v>0</v>
      </c>
      <c r="J36" s="11"/>
      <c r="K36" s="11"/>
      <c r="L36" s="43">
        <f t="shared" si="2"/>
        <v>0</v>
      </c>
      <c r="M36" s="44">
        <f t="shared" si="3"/>
        <v>0</v>
      </c>
      <c r="N36" s="12"/>
    </row>
    <row r="37" spans="1:14" ht="24" customHeight="1">
      <c r="A37" s="2" t="s">
        <v>23</v>
      </c>
      <c r="B37" s="19">
        <f>SUM(B6:B36)</f>
        <v>18850</v>
      </c>
      <c r="C37" s="19">
        <f>SUM(C6:C36)</f>
        <v>11635</v>
      </c>
      <c r="D37" s="45">
        <f>SUM(D6:D36)</f>
        <v>3455</v>
      </c>
      <c r="E37" s="19">
        <f>SUM(E6:E36)</f>
        <v>33940</v>
      </c>
      <c r="F37" s="19">
        <f>SUM(E6:E36)</f>
        <v>33940</v>
      </c>
      <c r="G37" s="19">
        <f>SUM(F6:F36)</f>
        <v>10357.01</v>
      </c>
      <c r="H37" s="19">
        <f>SUM(G6:G36)</f>
        <v>0</v>
      </c>
      <c r="I37" s="45">
        <f>SUM(I6:I36)</f>
        <v>10357.01</v>
      </c>
      <c r="J37" s="19">
        <f>SUM(H6:H36)</f>
        <v>0</v>
      </c>
      <c r="K37" s="19">
        <f>SUM(I6:I36)</f>
        <v>10357.01</v>
      </c>
      <c r="L37" s="45">
        <f>SUM(L6:L36)</f>
        <v>7000</v>
      </c>
      <c r="M37" s="45">
        <f>SUM(M6:M36)</f>
        <v>16582.989999999998</v>
      </c>
      <c r="N37" s="46"/>
    </row>
  </sheetData>
  <mergeCells count="5">
    <mergeCell ref="B4:E4"/>
    <mergeCell ref="F4:I4"/>
    <mergeCell ref="A2:N2"/>
    <mergeCell ref="J4:L4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zoomScaleNormal="100" workbookViewId="0">
      <selection sqref="A1:B1"/>
    </sheetView>
  </sheetViews>
  <sheetFormatPr baseColWidth="10" defaultColWidth="8.6640625" defaultRowHeight="15"/>
  <cols>
    <col min="1" max="1" width="26" customWidth="1"/>
    <col min="2" max="2" width="68" customWidth="1"/>
  </cols>
  <sheetData>
    <row r="1" spans="1:2" ht="36" customHeight="1">
      <c r="A1" s="59" t="s">
        <v>24</v>
      </c>
      <c r="B1" s="57"/>
    </row>
    <row r="2" spans="1:2" ht="7.5" customHeight="1">
      <c r="A2" s="20"/>
      <c r="B2" s="20"/>
    </row>
    <row r="3" spans="1:2" ht="30" customHeight="1">
      <c r="A3" s="58" t="s">
        <v>25</v>
      </c>
      <c r="B3" s="57"/>
    </row>
    <row r="4" spans="1:2" ht="19.5" customHeight="1">
      <c r="A4" s="21" t="s">
        <v>26</v>
      </c>
      <c r="B4" s="21" t="s">
        <v>27</v>
      </c>
    </row>
    <row r="5" spans="1:2" ht="19.5" customHeight="1">
      <c r="A5" s="22" t="s">
        <v>28</v>
      </c>
      <c r="B5" s="22" t="s">
        <v>29</v>
      </c>
    </row>
    <row r="6" spans="1:2" ht="7.5" customHeight="1">
      <c r="A6" s="20"/>
      <c r="B6" s="20"/>
    </row>
    <row r="7" spans="1:2" ht="30" customHeight="1">
      <c r="A7" s="58" t="s">
        <v>30</v>
      </c>
      <c r="B7" s="57"/>
    </row>
    <row r="8" spans="1:2" ht="19.5" customHeight="1">
      <c r="A8" s="23" t="s">
        <v>8</v>
      </c>
      <c r="B8" s="23" t="s">
        <v>31</v>
      </c>
    </row>
    <row r="9" spans="1:2" ht="19.5" customHeight="1">
      <c r="A9" s="22" t="s">
        <v>32</v>
      </c>
      <c r="B9" s="22" t="s">
        <v>33</v>
      </c>
    </row>
    <row r="10" spans="1:2" ht="19.5" customHeight="1">
      <c r="A10" s="22" t="s">
        <v>34</v>
      </c>
      <c r="B10" s="22" t="s">
        <v>35</v>
      </c>
    </row>
    <row r="11" spans="1:2" ht="19.5" customHeight="1">
      <c r="A11" s="24" t="s">
        <v>36</v>
      </c>
      <c r="B11" s="24" t="s">
        <v>37</v>
      </c>
    </row>
    <row r="12" spans="1:2" ht="19.5" customHeight="1">
      <c r="A12" s="24" t="s">
        <v>38</v>
      </c>
      <c r="B12" s="24" t="s">
        <v>39</v>
      </c>
    </row>
    <row r="13" spans="1:2" ht="19.5" customHeight="1">
      <c r="A13" s="25" t="s">
        <v>40</v>
      </c>
      <c r="B13" s="25" t="s">
        <v>41</v>
      </c>
    </row>
    <row r="14" spans="1:2" ht="19.5" customHeight="1">
      <c r="A14" s="26" t="s">
        <v>42</v>
      </c>
      <c r="B14" s="26" t="s">
        <v>43</v>
      </c>
    </row>
    <row r="15" spans="1:2" ht="19.5" customHeight="1">
      <c r="A15" s="26" t="s">
        <v>15</v>
      </c>
      <c r="B15" s="26" t="s">
        <v>44</v>
      </c>
    </row>
    <row r="16" spans="1:2" ht="19.5" customHeight="1">
      <c r="A16" s="26" t="s">
        <v>45</v>
      </c>
      <c r="B16" s="26" t="s">
        <v>46</v>
      </c>
    </row>
    <row r="17" spans="1:2" ht="19.5" customHeight="1">
      <c r="A17" s="27" t="s">
        <v>47</v>
      </c>
      <c r="B17" s="27" t="s">
        <v>48</v>
      </c>
    </row>
    <row r="18" spans="1:2" ht="19.5" customHeight="1">
      <c r="A18" s="27" t="s">
        <v>49</v>
      </c>
      <c r="B18" s="27" t="s">
        <v>50</v>
      </c>
    </row>
    <row r="19" spans="1:2" ht="7.5" customHeight="1">
      <c r="A19" s="27" t="s">
        <v>51</v>
      </c>
      <c r="B19" s="27" t="s">
        <v>52</v>
      </c>
    </row>
    <row r="20" spans="1:2" ht="30" customHeight="1">
      <c r="A20" s="56" t="s">
        <v>53</v>
      </c>
      <c r="B20" s="57"/>
    </row>
    <row r="21" spans="1:2" ht="19.5" customHeight="1">
      <c r="A21" s="23" t="s">
        <v>21</v>
      </c>
      <c r="B21" s="35"/>
    </row>
    <row r="22" spans="1:2" ht="19.5" customHeight="1">
      <c r="A22" s="20"/>
    </row>
    <row r="23" spans="1:2" ht="19.5" customHeight="1">
      <c r="A23" s="1" t="s">
        <v>54</v>
      </c>
      <c r="B23" s="35"/>
    </row>
    <row r="24" spans="1:2" ht="19.5" customHeight="1">
      <c r="A24" s="23" t="s">
        <v>55</v>
      </c>
      <c r="B24" s="23" t="s">
        <v>56</v>
      </c>
    </row>
    <row r="25" spans="1:2" ht="19.5" customHeight="1">
      <c r="A25" s="23" t="s">
        <v>55</v>
      </c>
      <c r="B25" s="23" t="s">
        <v>57</v>
      </c>
    </row>
    <row r="26" spans="1:2">
      <c r="A26" s="23" t="s">
        <v>55</v>
      </c>
      <c r="B26" s="23" t="s">
        <v>58</v>
      </c>
    </row>
    <row r="27" spans="1:2">
      <c r="A27" s="23" t="s">
        <v>55</v>
      </c>
      <c r="B27" s="23" t="s">
        <v>59</v>
      </c>
    </row>
    <row r="28" spans="1:2">
      <c r="A28" s="23" t="s">
        <v>55</v>
      </c>
      <c r="B28" s="23" t="s">
        <v>60</v>
      </c>
    </row>
  </sheetData>
  <mergeCells count="4">
    <mergeCell ref="A20:B20"/>
    <mergeCell ref="A3:B3"/>
    <mergeCell ref="A1:B1"/>
    <mergeCell ref="A7:B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zoomScaleNormal="100" workbookViewId="0">
      <selection sqref="A1:G1"/>
    </sheetView>
  </sheetViews>
  <sheetFormatPr baseColWidth="10" defaultColWidth="8.6640625" defaultRowHeight="15"/>
  <cols>
    <col min="1" max="1" width="30" customWidth="1"/>
    <col min="2" max="2" width="20" customWidth="1"/>
    <col min="3" max="3" width="22" customWidth="1"/>
  </cols>
  <sheetData>
    <row r="1" spans="1:7" ht="31.5" customHeight="1">
      <c r="A1" s="60" t="s">
        <v>61</v>
      </c>
      <c r="B1" s="51"/>
      <c r="C1" s="51"/>
      <c r="D1" s="51"/>
      <c r="E1" s="51"/>
      <c r="F1" s="51"/>
      <c r="G1" s="51"/>
    </row>
    <row r="2" spans="1:7" ht="21.75" customHeight="1">
      <c r="A2" s="28" t="s">
        <v>62</v>
      </c>
      <c r="B2" s="28" t="s">
        <v>63</v>
      </c>
      <c r="C2" s="28" t="s">
        <v>64</v>
      </c>
    </row>
    <row r="3" spans="1:7" ht="15" customHeight="1">
      <c r="A3" s="29" t="s">
        <v>65</v>
      </c>
      <c r="B3" s="30">
        <f>'Suivi Journalier'!B37</f>
        <v>18850</v>
      </c>
      <c r="C3" s="31"/>
    </row>
    <row r="4" spans="1:7" ht="15" customHeight="1">
      <c r="A4" s="29" t="s">
        <v>66</v>
      </c>
      <c r="B4" s="30">
        <f>'Suivi Journalier'!C37</f>
        <v>11635</v>
      </c>
      <c r="C4" s="31"/>
    </row>
    <row r="5" spans="1:7" ht="15" customHeight="1">
      <c r="A5" s="29" t="s">
        <v>67</v>
      </c>
      <c r="B5" s="30">
        <f>'Suivi Journalier'!D37</f>
        <v>3455</v>
      </c>
      <c r="C5" s="31">
        <f>IFERROR(B5/B6,"-")</f>
        <v>0.10179728933411904</v>
      </c>
    </row>
    <row r="6" spans="1:7" ht="15" customHeight="1">
      <c r="A6" s="32" t="s">
        <v>68</v>
      </c>
      <c r="B6" s="33">
        <f>'Suivi Journalier'!E37</f>
        <v>33940</v>
      </c>
      <c r="C6" s="34">
        <v>1</v>
      </c>
    </row>
    <row r="7" spans="1:7" ht="15" customHeight="1">
      <c r="A7" s="29" t="s">
        <v>69</v>
      </c>
      <c r="B7" s="30">
        <f>'Suivi Journalier'!E37</f>
        <v>33940</v>
      </c>
      <c r="C7" s="31">
        <f>IFERROR(B7/B6,"-")</f>
        <v>1</v>
      </c>
    </row>
    <row r="8" spans="1:7" ht="15" customHeight="1">
      <c r="A8" s="29" t="s">
        <v>70</v>
      </c>
      <c r="B8" s="30">
        <f>'Suivi Journalier'!F37</f>
        <v>33940</v>
      </c>
      <c r="C8" s="31">
        <f>IFERROR(B8/B6,"-")</f>
        <v>1</v>
      </c>
    </row>
    <row r="9" spans="1:7" ht="15" customHeight="1">
      <c r="A9" s="29" t="s">
        <v>71</v>
      </c>
      <c r="B9" s="30">
        <f>'Suivi Journalier'!G37</f>
        <v>10357.01</v>
      </c>
      <c r="C9" s="31">
        <f>IFERROR(B9/B6,"-")</f>
        <v>0.30515645256334711</v>
      </c>
    </row>
    <row r="10" spans="1:7" ht="15" customHeight="1">
      <c r="A10" s="32" t="s">
        <v>72</v>
      </c>
      <c r="B10" s="33">
        <f>'Suivi Journalier'!H37</f>
        <v>0</v>
      </c>
      <c r="C10" s="34">
        <f>IFERROR(B10/B6,"-")</f>
        <v>0</v>
      </c>
    </row>
    <row r="11" spans="1:7" ht="15" customHeight="1">
      <c r="A11" s="29" t="s">
        <v>73</v>
      </c>
      <c r="B11" s="30">
        <f>'Suivi Journalier'!I37</f>
        <v>10357.01</v>
      </c>
      <c r="C11" s="31">
        <f>IFERROR(B11/B6,"-")</f>
        <v>0.30515645256334711</v>
      </c>
    </row>
    <row r="12" spans="1:7">
      <c r="A12" s="29" t="s">
        <v>74</v>
      </c>
      <c r="B12" s="30">
        <f>'Suivi Journalier'!J37</f>
        <v>0</v>
      </c>
      <c r="C12" s="31">
        <f>IFERROR(B12/B6,"-")</f>
        <v>0</v>
      </c>
    </row>
    <row r="13" spans="1:7">
      <c r="A13" s="32" t="s">
        <v>75</v>
      </c>
      <c r="B13" s="33">
        <f>'Suivi Journalier'!K37</f>
        <v>10357.01</v>
      </c>
      <c r="C13" s="34">
        <f>IFERROR(B13/B6,"-")</f>
        <v>0.30515645256334711</v>
      </c>
    </row>
    <row r="14" spans="1:7">
      <c r="A14" s="32" t="s">
        <v>76</v>
      </c>
      <c r="B14" s="33">
        <f>'Suivi Journalier'!L37</f>
        <v>7000</v>
      </c>
      <c r="C14" s="34">
        <f>IFERROR(B14/B6,"-")</f>
        <v>0.20624631703005303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Suivi Journalier</vt:lpstr>
      <vt:lpstr>Légende &amp; Instructions</vt:lpstr>
      <vt:lpstr>Récap Mensuel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revision>0</cp:revision>
  <dcterms:created xsi:type="dcterms:W3CDTF">2026-04-02T18:55:59Z</dcterms:created>
  <dcterms:modified xsi:type="dcterms:W3CDTF">2026-04-05T23:35:28Z</dcterms:modified>
  <dc:language>en-US</dc:language>
</cp:coreProperties>
</file>