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issons" sheetId="1" r:id="rId5"/>
    <sheet state="visible" name="Économat" sheetId="2" r:id="rId6"/>
    <sheet state="visible" name="Éco Pdt Italien" sheetId="3" r:id="rId7"/>
    <sheet state="visible" name="Fournisseurs" sheetId="4" r:id="rId8"/>
    <sheet state="visible" name="Fromage" sheetId="5" r:id="rId9"/>
    <sheet state="visible" name="Légumes" sheetId="6" r:id="rId10"/>
    <sheet state="visible" name="Poisson" sheetId="7" r:id="rId11"/>
    <sheet state="visible" name="Viande" sheetId="8" r:id="rId12"/>
    <sheet state="visible" name="INV-Légumes" sheetId="9" r:id="rId13"/>
    <sheet state="visible" name="Suivi Journalier" sheetId="10" r:id="rId14"/>
    <sheet state="visible" name="INV-Économat" sheetId="11" r:id="rId15"/>
    <sheet state="visible" name="INV-Fromage" sheetId="12" r:id="rId16"/>
    <sheet state="visible" name="INV-Poisson" sheetId="13" r:id="rId17"/>
    <sheet state="visible" name="INV-Viande" sheetId="14" r:id="rId18"/>
    <sheet state="visible" name="INV-Éco Pdt Italien" sheetId="15" r:id="rId19"/>
    <sheet state="visible" name="INV-Fournisseurs" sheetId="16" r:id="rId20"/>
    <sheet state="visible" name="INV-Boissons" sheetId="17" r:id="rId21"/>
    <sheet state="visible" name="Legende" sheetId="18" r:id="rId22"/>
    <sheet state="visible" name="Recap Mensuel" sheetId="19" r:id="rId23"/>
    <sheet state="visible" name="SI-Légumes" sheetId="20" r:id="rId24"/>
    <sheet state="visible" name="SI-Économat" sheetId="21" r:id="rId25"/>
    <sheet state="visible" name="SI-Fromage" sheetId="22" r:id="rId26"/>
    <sheet state="visible" name="SI-Poisson" sheetId="23" r:id="rId27"/>
    <sheet state="visible" name="SI-Viande" sheetId="24" r:id="rId28"/>
    <sheet state="visible" name="SI-Éco Pdt Italien" sheetId="25" r:id="rId29"/>
    <sheet state="visible" name="SI-Fournisseurs" sheetId="26" r:id="rId30"/>
    <sheet state="visible" name="SI-Boissons" sheetId="27" r:id="rId31"/>
  </sheets>
  <definedNames/>
  <calcPr/>
</workbook>
</file>

<file path=xl/sharedStrings.xml><?xml version="1.0" encoding="utf-8"?>
<sst xmlns="http://schemas.openxmlformats.org/spreadsheetml/2006/main" count="2222" uniqueCount="331">
  <si>
    <t>BOISSONS</t>
  </si>
  <si>
    <t>Produit</t>
  </si>
  <si>
    <t>Prix (MAD)</t>
  </si>
  <si>
    <t>Unité</t>
  </si>
  <si>
    <t>Sidi Ali 75cl</t>
  </si>
  <si>
    <t/>
  </si>
  <si>
    <t>Casier</t>
  </si>
  <si>
    <t>Oulmès 75cl</t>
  </si>
  <si>
    <t>Sidi Ali 50cl</t>
  </si>
  <si>
    <t>Oulmès 33cl</t>
  </si>
  <si>
    <t>Coca Cola</t>
  </si>
  <si>
    <t>Coca Cola Zéro</t>
  </si>
  <si>
    <t>Sprite</t>
  </si>
  <si>
    <t>Schweppes Tonic</t>
  </si>
  <si>
    <t>Schweppes Citron</t>
  </si>
  <si>
    <t>Hawaï</t>
  </si>
  <si>
    <t>Orangina</t>
  </si>
  <si>
    <t>San Miguel</t>
  </si>
  <si>
    <t>Café</t>
  </si>
  <si>
    <t>ÉCONOMAT</t>
  </si>
  <si>
    <t>Huile de table</t>
  </si>
  <si>
    <t>Huile friteuse</t>
  </si>
  <si>
    <t>Cannelloni</t>
  </si>
  <si>
    <t>Pouches</t>
  </si>
  <si>
    <t>Les gants</t>
  </si>
  <si>
    <t>Œufs</t>
  </si>
  <si>
    <t>Origan</t>
  </si>
  <si>
    <t>Film alimentaire</t>
  </si>
  <si>
    <t>Finot</t>
  </si>
  <si>
    <t>Farine</t>
  </si>
  <si>
    <t>Poudre cacao</t>
  </si>
  <si>
    <t>Chapelure</t>
  </si>
  <si>
    <t>Thé</t>
  </si>
  <si>
    <t>Sucre thé</t>
  </si>
  <si>
    <t>Sucre semoule</t>
  </si>
  <si>
    <t>Vinaigre blanc</t>
  </si>
  <si>
    <t>Œufs (caille)</t>
  </si>
  <si>
    <t>Anchoix mariné</t>
  </si>
  <si>
    <t>Anchoix salé</t>
  </si>
  <si>
    <t>Boudoirs</t>
  </si>
  <si>
    <t>Farine capoto</t>
  </si>
  <si>
    <t>Farine pizza kenz</t>
  </si>
  <si>
    <t>Charlotte</t>
  </si>
  <si>
    <t>Sel de table</t>
  </si>
  <si>
    <t>Thon</t>
  </si>
  <si>
    <t>Maïs</t>
  </si>
  <si>
    <t>Câpre</t>
  </si>
  <si>
    <t>Poivre vert</t>
  </si>
  <si>
    <t>Tomate pelée</t>
  </si>
  <si>
    <t>Artichaut</t>
  </si>
  <si>
    <t>Sac congélation</t>
  </si>
  <si>
    <t>Moutarde</t>
  </si>
  <si>
    <t>Ketchup</t>
  </si>
  <si>
    <t>Gélatine</t>
  </si>
  <si>
    <t>Sucre vanille</t>
  </si>
  <si>
    <t>Levure chimique</t>
  </si>
  <si>
    <t>Arôme vanille</t>
  </si>
  <si>
    <t>Sucre glace</t>
  </si>
  <si>
    <t>Crème pâtissière</t>
  </si>
  <si>
    <t>Sucre cassonade</t>
  </si>
  <si>
    <t>Maizena</t>
  </si>
  <si>
    <t>Amlou</t>
  </si>
  <si>
    <t>Agrich</t>
  </si>
  <si>
    <t>Nutella</t>
  </si>
  <si>
    <t>Demi glace</t>
  </si>
  <si>
    <t>Crème balsamic</t>
  </si>
  <si>
    <t>Tabasco</t>
  </si>
  <si>
    <t>Levure rafiaa</t>
  </si>
  <si>
    <t>Soya sauce</t>
  </si>
  <si>
    <t>Vinaigre de vin blanc</t>
  </si>
  <si>
    <t>Vinaigre de vin rouge</t>
  </si>
  <si>
    <t>Vinaigre balsamic</t>
  </si>
  <si>
    <t>Risotto arborio</t>
  </si>
  <si>
    <t>Nescafé</t>
  </si>
  <si>
    <t>Tomate aicha</t>
  </si>
  <si>
    <t>Chocolat noir 55%</t>
  </si>
  <si>
    <t>Lentille</t>
  </si>
  <si>
    <t>Haricot blanc</t>
  </si>
  <si>
    <t>Poivre poudre</t>
  </si>
  <si>
    <t>Gingembre</t>
  </si>
  <si>
    <t>Noix de muscade</t>
  </si>
  <si>
    <t>Curcuma</t>
  </si>
  <si>
    <t>Figue</t>
  </si>
  <si>
    <t>Biscuit sablé</t>
  </si>
  <si>
    <t>Lait UHT</t>
  </si>
  <si>
    <t>Knor</t>
  </si>
  <si>
    <t>Truff</t>
  </si>
  <si>
    <t>Tomate séchée</t>
  </si>
  <si>
    <t>Crème cuisson</t>
  </si>
  <si>
    <t>Crème cheese</t>
  </si>
  <si>
    <t>Moutarde à l'ancienne</t>
  </si>
  <si>
    <t>Economa Pdt Italien</t>
  </si>
  <si>
    <t>Parmesan</t>
  </si>
  <si>
    <t>Gorgonzola</t>
  </si>
  <si>
    <t>Mascarpone</t>
  </si>
  <si>
    <t>Brésaola</t>
  </si>
  <si>
    <t>Tomate pizza</t>
  </si>
  <si>
    <t>Riz arborio</t>
  </si>
  <si>
    <t>Spaghetti</t>
  </si>
  <si>
    <t>Linguini</t>
  </si>
  <si>
    <t>Penne</t>
  </si>
  <si>
    <t>Rigatoni</t>
  </si>
  <si>
    <t>Farine KENZ</t>
  </si>
  <si>
    <t>FOURNISSEURS</t>
  </si>
  <si>
    <t>Nom Complet</t>
  </si>
  <si>
    <t>Catégorie</t>
  </si>
  <si>
    <t>Numéro de Téléphone</t>
  </si>
  <si>
    <t>ELK Fresh</t>
  </si>
  <si>
    <t>Légumes</t>
  </si>
  <si>
    <t>+212660553784</t>
  </si>
  <si>
    <t>Zineb Food</t>
  </si>
  <si>
    <t>+212631118376</t>
  </si>
  <si>
    <t>Goh Negoce</t>
  </si>
  <si>
    <t>Économat</t>
  </si>
  <si>
    <t>+212661865083</t>
  </si>
  <si>
    <t>Hero Food</t>
  </si>
  <si>
    <t>+212668629564</t>
  </si>
  <si>
    <t>Gastro Mix</t>
  </si>
  <si>
    <t>Fromage</t>
  </si>
  <si>
    <t>+212666670021</t>
  </si>
  <si>
    <t>Outa Bount ( Marche Central )</t>
  </si>
  <si>
    <t>+212693076036</t>
  </si>
  <si>
    <t>Pesca Frigo</t>
  </si>
  <si>
    <t>Poisson</t>
  </si>
  <si>
    <t>+212668468936</t>
  </si>
  <si>
    <t>Hafsa Samak</t>
  </si>
  <si>
    <t>+212700082300</t>
  </si>
  <si>
    <t>Boucherie Anfal</t>
  </si>
  <si>
    <t>Viande</t>
  </si>
  <si>
    <t>+212670925407</t>
  </si>
  <si>
    <t>Moulay Said</t>
  </si>
  <si>
    <t>+212663640400</t>
  </si>
  <si>
    <t>Lazzaro</t>
  </si>
  <si>
    <t>Économat Pdt Italien</t>
  </si>
  <si>
    <t>Youssef ( Marche Maarif )</t>
  </si>
  <si>
    <t>FROMAGE</t>
  </si>
  <si>
    <t>Burrata</t>
  </si>
  <si>
    <t>Ricotta</t>
  </si>
  <si>
    <t>Scarmosa</t>
  </si>
  <si>
    <t>Mozza salade</t>
  </si>
  <si>
    <t>Mozzarella</t>
  </si>
  <si>
    <t>LÉGUMES</t>
  </si>
  <si>
    <t>Tomate</t>
  </si>
  <si>
    <t>Tomate cerise</t>
  </si>
  <si>
    <t>Tomate cerise jaune</t>
  </si>
  <si>
    <t>Germe</t>
  </si>
  <si>
    <t>Haricots verts</t>
  </si>
  <si>
    <t>Brocolis</t>
  </si>
  <si>
    <t>Petit pois</t>
  </si>
  <si>
    <t>Choux Bruxelles</t>
  </si>
  <si>
    <t>Asperges</t>
  </si>
  <si>
    <t>Pomme de terre</t>
  </si>
  <si>
    <t>Pomme nouvelle</t>
  </si>
  <si>
    <t>Ail</t>
  </si>
  <si>
    <t>Oignons rouges</t>
  </si>
  <si>
    <t>Carotte</t>
  </si>
  <si>
    <t>Bébé carottes</t>
  </si>
  <si>
    <t>Courgettes</t>
  </si>
  <si>
    <t>Aubergine</t>
  </si>
  <si>
    <t>Poivrons rouge</t>
  </si>
  <si>
    <t>Poivrons jaunes</t>
  </si>
  <si>
    <t>Concombre</t>
  </si>
  <si>
    <t>Persil</t>
  </si>
  <si>
    <t>Roquette</t>
  </si>
  <si>
    <t>Salade ice berg</t>
  </si>
  <si>
    <t>Salade lola rosa</t>
  </si>
  <si>
    <t>Salade romaine</t>
  </si>
  <si>
    <t>Basilic</t>
  </si>
  <si>
    <t>Thym</t>
  </si>
  <si>
    <t>Romarin</t>
  </si>
  <si>
    <t>Ciboulette</t>
  </si>
  <si>
    <t>Champignons</t>
  </si>
  <si>
    <t>Olive noire</t>
  </si>
  <si>
    <t>Menthe</t>
  </si>
  <si>
    <t>Pamplemousse</t>
  </si>
  <si>
    <t>Avocat</t>
  </si>
  <si>
    <t>Kiwi</t>
  </si>
  <si>
    <t>Mangue</t>
  </si>
  <si>
    <t>Fraise</t>
  </si>
  <si>
    <t>Framboise</t>
  </si>
  <si>
    <t>Fruits rouges</t>
  </si>
  <si>
    <t>Pommes</t>
  </si>
  <si>
    <t>Banane</t>
  </si>
  <si>
    <t>Orange</t>
  </si>
  <si>
    <t>Poire</t>
  </si>
  <si>
    <t>Gingembre frais</t>
  </si>
  <si>
    <t>Épinard</t>
  </si>
  <si>
    <t>Betterave</t>
  </si>
  <si>
    <t>Poireaux</t>
  </si>
  <si>
    <t>Citron</t>
  </si>
  <si>
    <t>POISSON</t>
  </si>
  <si>
    <t>Calamars</t>
  </si>
  <si>
    <t>Moule décortiquée</t>
  </si>
  <si>
    <t>Moule avec coquille</t>
  </si>
  <si>
    <t>Chair de crabe</t>
  </si>
  <si>
    <t>Palourde</t>
  </si>
  <si>
    <t>Saumon frais</t>
  </si>
  <si>
    <t>Saumon fumé</t>
  </si>
  <si>
    <t>Poulpe</t>
  </si>
  <si>
    <t>Gambas 30/50</t>
  </si>
  <si>
    <t>Espadon</t>
  </si>
  <si>
    <t>Saint-Pierre</t>
  </si>
  <si>
    <t>VIANDE</t>
  </si>
  <si>
    <t>Blanc de poulet</t>
  </si>
  <si>
    <t>Filet de boeuf</t>
  </si>
  <si>
    <t>Entrecôte</t>
  </si>
  <si>
    <t>Carpaccio</t>
  </si>
  <si>
    <t>Viande hachée</t>
  </si>
  <si>
    <t>🍽  SUIVI FINANCIER JOURNALIER — RESTAURANT</t>
  </si>
  <si>
    <t>Tableau de bord — April 2026</t>
  </si>
  <si>
    <t>DATE</t>
  </si>
  <si>
    <t>RECETTES</t>
  </si>
  <si>
    <t>DÉPENSES</t>
  </si>
  <si>
    <t>RETRAITS CARTE</t>
  </si>
  <si>
    <t>SOLDE THÉORIQUE</t>
  </si>
  <si>
    <t>OBSERVATIONS</t>
  </si>
  <si>
    <t>Date</t>
  </si>
  <si>
    <t>Recette Carte
(Z Caisse)</t>
  </si>
  <si>
    <t>Recette Espèces
(Z Caisse)</t>
  </si>
  <si>
    <t>Virement &amp;
Ticket Restau</t>
  </si>
  <si>
    <t>Total Recettes
(AUTO)</t>
  </si>
  <si>
    <t>Dépenses Caisse
(Espèces)</t>
  </si>
  <si>
    <t>Description</t>
  </si>
  <si>
    <t>Dépenses Carte
(Pro)</t>
  </si>
  <si>
    <t>Dépenses TPE</t>
  </si>
  <si>
    <t>Total Dépenses
(AUTO)</t>
  </si>
  <si>
    <t>Retraits Carte
(Pro)</t>
  </si>
  <si>
    <t>Retraits Carte
(Perso)</t>
  </si>
  <si>
    <t>Retraits Carte
(Total)
(AUTO)</t>
  </si>
  <si>
    <t>Solde Théorique
(AUTO)</t>
  </si>
  <si>
    <t>Observations</t>
  </si>
  <si>
    <t>Marjane</t>
  </si>
  <si>
    <t>ancien bon fournisseur</t>
  </si>
  <si>
    <t>Nicola (vin&amp;bierres)</t>
  </si>
  <si>
    <t>ancien bons fournisseur 2/6</t>
  </si>
  <si>
    <t>maison</t>
  </si>
  <si>
    <t>paiement ibrahima (gardien)</t>
  </si>
  <si>
    <t>TOTAUX MENSUELS</t>
  </si>
  <si>
    <t>L</t>
  </si>
  <si>
    <t>Paquet</t>
  </si>
  <si>
    <t>Kg</t>
  </si>
  <si>
    <t>Sachet</t>
  </si>
  <si>
    <t>Bouteille</t>
  </si>
  <si>
    <t>Boîte</t>
  </si>
  <si>
    <t>Pièce</t>
  </si>
  <si>
    <t>Flocons d'avoine</t>
  </si>
  <si>
    <t>Chapelure panko</t>
  </si>
  <si>
    <t>Crème pâtissière citron</t>
  </si>
  <si>
    <t>Passata de tomates</t>
  </si>
  <si>
    <t>Chocolat pâtissier</t>
  </si>
  <si>
    <t>Galettes de riz</t>
  </si>
  <si>
    <t>Sablé coco</t>
  </si>
  <si>
    <t>Bouillon de légumes</t>
  </si>
  <si>
    <t>Lentilles corail</t>
  </si>
  <si>
    <t>Pois chiches</t>
  </si>
  <si>
    <t>Sucre fleur d'oranger</t>
  </si>
  <si>
    <t>Préparation aromatique vanille</t>
  </si>
  <si>
    <t>Vinaigre à l'estragon</t>
  </si>
  <si>
    <t>Mélasse de grenadine</t>
  </si>
  <si>
    <t>Eau de fleur d'oranger</t>
  </si>
  <si>
    <t>Sauce barbecue</t>
  </si>
  <si>
    <t>ÉCONOMAT PDT ITALIEN</t>
  </si>
  <si>
    <t>Penne ziti rigate</t>
  </si>
  <si>
    <t>Nouilles soba</t>
  </si>
  <si>
    <t>Riz noir</t>
  </si>
  <si>
    <t>Tartufata</t>
  </si>
  <si>
    <t>Tartufo nero</t>
  </si>
  <si>
    <t>LEGENDE DES COULEURS ET INSTRUCTIONS</t>
  </si>
  <si>
    <t>COULEURS DES CELLULES</t>
  </si>
  <si>
    <t>Texte bleu</t>
  </si>
  <si>
    <t>Saisie manuelle (donnees a entrer par l'utilisateur)</t>
  </si>
  <si>
    <t>Texte noir gras</t>
  </si>
  <si>
    <t>Calcul automatique (ne pas modifier)</t>
  </si>
  <si>
    <t>COLONNES - DEFINITIONS</t>
  </si>
  <si>
    <t>Date du jour (format JJ/MM/AAAA)</t>
  </si>
  <si>
    <t>Recette Carte</t>
  </si>
  <si>
    <t>Montant des recettes carte bancaire selon le Z de caisse</t>
  </si>
  <si>
    <t>Recette Especes</t>
  </si>
  <si>
    <t>Montant des recettes especes selon le Z de caisse</t>
  </si>
  <si>
    <t>Virement &amp; Ticket Restau</t>
  </si>
  <si>
    <t>Montant des virements et tickets restaurant recus</t>
  </si>
  <si>
    <t>Total Recettes</t>
  </si>
  <si>
    <t>Recette Carte + Recette Especes (calcul automatique)</t>
  </si>
  <si>
    <t>Depenses Caisse</t>
  </si>
  <si>
    <t>Depenses reglees en especes, issues de la feuille du manager</t>
  </si>
  <si>
    <t>Depenses Carte (Pro)</t>
  </si>
  <si>
    <t>Depenses professionnelles du restaurant reglees par carte</t>
  </si>
  <si>
    <t>Depenses TPE</t>
  </si>
  <si>
    <t>Depenses reglees via le terminal de paiement electronique (TPE)</t>
  </si>
  <si>
    <t>Total Depenses</t>
  </si>
  <si>
    <t>Depenses Caisse + Depenses Carte Pro + Depenses TPE (calcul automatique)</t>
  </si>
  <si>
    <t>Retraits Carte (Pro)</t>
  </si>
  <si>
    <t>Retraits effectues pour les besoins du restaurant</t>
  </si>
  <si>
    <t>Retraits Carte (Perso)</t>
  </si>
  <si>
    <t>Retraits personnels effectues avec la carte du restaurant</t>
  </si>
  <si>
    <t>Total Retraits</t>
  </si>
  <si>
    <t>Retraits Pro + Retraits Perso (calcul automatique)</t>
  </si>
  <si>
    <t>INSTRUCTIONS D'UTILISATION</t>
  </si>
  <si>
    <t>1</t>
  </si>
  <si>
    <t>Remplir quotidiennement les cellules en bleu</t>
  </si>
  <si>
    <t>2</t>
  </si>
  <si>
    <t>Ne jamais modifier les cellules en noir gras (formules automatiques)</t>
  </si>
  <si>
    <t>3</t>
  </si>
  <si>
    <t>Le Solde Theorique = Total Recettes - (Total Depenses + Total Retraits)</t>
  </si>
  <si>
    <t>4</t>
  </si>
  <si>
    <t>Utiliser la colonne Observations pour noter tout evenement particulier</t>
  </si>
  <si>
    <t>5</t>
  </si>
  <si>
    <t>Verifier chaque jour que le solde theorique correspond a la realite</t>
  </si>
  <si>
    <t>6</t>
  </si>
  <si>
    <t>L'onglet Recap Mensuel se met a jour automatiquement</t>
  </si>
  <si>
    <t>7</t>
  </si>
  <si>
    <t>Conserver les Z de caisse comme justificatifs</t>
  </si>
  <si>
    <t>RECAPITULATIF MENSUEL</t>
  </si>
  <si>
    <t>Indicateur</t>
  </si>
  <si>
    <t>Montant (MAD)</t>
  </si>
  <si>
    <t>% du Total Recettes</t>
  </si>
  <si>
    <t>Total Recettes Carte</t>
  </si>
  <si>
    <t>Total Recettes Especes</t>
  </si>
  <si>
    <t>Total Virement &amp; Ticket Restau</t>
  </si>
  <si>
    <t>TOTAL RECETTES</t>
  </si>
  <si>
    <t>Total Depenses Caisse</t>
  </si>
  <si>
    <t>Total Depenses Carte Pro</t>
  </si>
  <si>
    <t>Total Depenses TPE</t>
  </si>
  <si>
    <t>TOTAL DEPENSES</t>
  </si>
  <si>
    <t>Total Retraits Pro</t>
  </si>
  <si>
    <t>Total Retraits Perso</t>
  </si>
  <si>
    <t>TOTAL RETRAITS</t>
  </si>
  <si>
    <t>SOLDE THEORIQUE MENSUEL</t>
  </si>
  <si>
    <t>Quantité</t>
  </si>
  <si>
    <t>Payé (MAD)</t>
  </si>
  <si>
    <t>Crédit (MAD)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</si>
</sst>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,mm,yyyy"/>
    <numFmt numFmtId="166" formatCode="dd,mm,yy"/>
    <numFmt numFmtId="167" formatCode="0.0%"/>
  </numFmts>
  <fonts count="10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9.0"/>
      <color rgb="FFFFFFFF"/>
      <name val="Arial"/>
      <scheme val="minor"/>
    </font>
    <font>
      <color rgb="FF1933B2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00897B"/>
        <bgColor rgb="FF00897B"/>
      </patternFill>
    </fill>
    <fill>
      <patternFill patternType="solid">
        <fgColor rgb="FFE0F2F1"/>
        <bgColor rgb="FFE0F2F1"/>
      </patternFill>
    </fill>
    <fill>
      <patternFill patternType="solid">
        <fgColor rgb="FFB2DFDB"/>
        <bgColor rgb="FFB2DFDB"/>
      </patternFill>
    </fill>
    <fill>
      <patternFill patternType="solid">
        <fgColor rgb="FFFF9800"/>
        <bgColor rgb="FFFF9800"/>
      </patternFill>
    </fill>
    <fill>
      <patternFill patternType="solid">
        <fgColor rgb="FFFFF3E0"/>
        <bgColor rgb="FFFFF3E0"/>
      </patternFill>
    </fill>
    <fill>
      <patternFill patternType="solid">
        <fgColor rgb="FFFFE0B2"/>
        <bgColor rgb="FFFFE0B2"/>
      </patternFill>
    </fill>
    <fill>
      <patternFill patternType="solid">
        <fgColor rgb="FF9C27B0"/>
        <bgColor rgb="FF9C27B0"/>
      </patternFill>
    </fill>
    <fill>
      <patternFill patternType="solid">
        <fgColor rgb="FFF3E5F5"/>
        <bgColor rgb="FFF3E5F5"/>
      </patternFill>
    </fill>
    <fill>
      <patternFill patternType="solid">
        <fgColor rgb="FFE1BEE7"/>
        <bgColor rgb="FFE1BEE7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CFD8DC"/>
        <bgColor rgb="FFCFD8DC"/>
      </patternFill>
    </fill>
    <fill>
      <patternFill patternType="solid">
        <fgColor rgb="FFFFC107"/>
        <bgColor rgb="FFFFC107"/>
      </patternFill>
    </fill>
    <fill>
      <patternFill patternType="solid">
        <fgColor rgb="FFFFFDE7"/>
        <bgColor rgb="FFFFFDE7"/>
      </patternFill>
    </fill>
    <fill>
      <patternFill patternType="solid">
        <fgColor rgb="FFFFF9C4"/>
        <bgColor rgb="FFFFF9C4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2196F3"/>
        <bgColor rgb="FF2196F3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F44336"/>
        <bgColor rgb="FFF44336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  <fill>
      <patternFill patternType="solid">
        <fgColor rgb="FF1A2E44"/>
        <bgColor rgb="FF1A2E44"/>
      </patternFill>
    </fill>
    <fill>
      <patternFill patternType="solid">
        <fgColor rgb="FF1B5E20"/>
        <bgColor rgb="FF1B5E20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A237E"/>
        <bgColor rgb="FF1A237E"/>
      </patternFill>
    </fill>
    <fill>
      <patternFill patternType="solid">
        <fgColor rgb="FF2C4A6E"/>
        <bgColor rgb="FF2C4A6E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BF360C"/>
        <bgColor rgb="FFBF360C"/>
      </patternFill>
    </fill>
    <fill>
      <patternFill patternType="solid">
        <fgColor rgb="FF283593"/>
        <bgColor rgb="FF283593"/>
      </patternFill>
    </fill>
    <fill>
      <patternFill patternType="solid">
        <fgColor rgb="FFFFFFFF"/>
        <bgColor rgb="FFFFFFFF"/>
      </patternFill>
    </fill>
    <fill>
      <patternFill patternType="solid">
        <fgColor rgb="FFC5CAE9"/>
        <bgColor rgb="FFC5CAE9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</fills>
  <borders count="2">
    <border/>
    <border>
      <bottom style="medium">
        <color rgb="FF4C4C4C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1" numFmtId="0" xfId="0" applyAlignment="1" applyFill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1" numFmtId="0" xfId="0" applyAlignment="1" applyFill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0" fillId="12" fontId="3" numFmtId="0" xfId="0" applyAlignment="1" applyFill="1" applyFont="1">
      <alignment readingOrder="0"/>
    </xf>
    <xf quotePrefix="1" borderId="0" fillId="12" fontId="3" numFmtId="0" xfId="0" applyAlignment="1" applyFont="1">
      <alignment readingOrder="0"/>
    </xf>
    <xf borderId="0" fillId="13" fontId="3" numFmtId="0" xfId="0" applyAlignment="1" applyFill="1" applyFont="1">
      <alignment readingOrder="0"/>
    </xf>
    <xf quotePrefix="1" borderId="0" fillId="13" fontId="3" numFmtId="0" xfId="0" applyAlignment="1" applyFont="1">
      <alignment readingOrder="0"/>
    </xf>
    <xf borderId="0" fillId="14" fontId="1" numFmtId="0" xfId="0" applyAlignment="1" applyFill="1" applyFont="1">
      <alignment horizontal="center" readingOrder="0" vertical="center"/>
    </xf>
    <xf borderId="1" fillId="14" fontId="2" numFmtId="0" xfId="0" applyAlignment="1" applyBorder="1" applyFont="1">
      <alignment horizontal="center" readingOrder="0" vertical="center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1" numFmtId="0" xfId="0" applyAlignment="1" applyFill="1" applyFont="1">
      <alignment horizontal="center" readingOrder="0" vertical="center"/>
    </xf>
    <xf borderId="1" fillId="17" fontId="2" numFmtId="0" xfId="0" applyAlignment="1" applyBorder="1" applyFont="1">
      <alignment horizontal="center" readingOrder="0" vertical="center"/>
    </xf>
    <xf borderId="0" fillId="18" fontId="3" numFmtId="0" xfId="0" applyAlignment="1" applyFill="1" applyFont="1">
      <alignment readingOrder="0"/>
    </xf>
    <xf borderId="0" fillId="19" fontId="3" numFmtId="0" xfId="0" applyAlignment="1" applyFill="1" applyFont="1">
      <alignment readingOrder="0"/>
    </xf>
    <xf borderId="0" fillId="20" fontId="1" numFmtId="0" xfId="0" applyAlignment="1" applyFill="1" applyFont="1">
      <alignment horizontal="center" readingOrder="0" vertical="center"/>
    </xf>
    <xf borderId="1" fillId="20" fontId="2" numFmtId="0" xfId="0" applyAlignment="1" applyBorder="1" applyFont="1">
      <alignment horizontal="center" readingOrder="0" vertical="center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23" fontId="1" numFmtId="0" xfId="0" applyAlignment="1" applyFill="1" applyFont="1">
      <alignment horizontal="center" readingOrder="0" vertical="center"/>
    </xf>
    <xf borderId="1" fillId="23" fontId="2" numFmtId="0" xfId="0" applyAlignment="1" applyBorder="1" applyFont="1">
      <alignment horizontal="center" readingOrder="0" vertical="center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6" fontId="4" numFmtId="0" xfId="0" applyAlignment="1" applyFill="1" applyFont="1">
      <alignment horizontal="center" readingOrder="0" vertical="center"/>
    </xf>
    <xf borderId="0" fillId="26" fontId="5" numFmtId="0" xfId="0" applyAlignment="1" applyFont="1">
      <alignment horizontal="center" readingOrder="0"/>
    </xf>
    <xf borderId="0" fillId="26" fontId="2" numFmtId="0" xfId="0" applyAlignment="1" applyFont="1">
      <alignment horizontal="center" readingOrder="0"/>
    </xf>
    <xf borderId="0" fillId="27" fontId="2" numFmtId="0" xfId="0" applyAlignment="1" applyFill="1" applyFont="1">
      <alignment horizontal="center" readingOrder="0"/>
    </xf>
    <xf borderId="0" fillId="28" fontId="2" numFmtId="0" xfId="0" applyAlignment="1" applyFill="1" applyFont="1">
      <alignment horizontal="center" readingOrder="0"/>
    </xf>
    <xf borderId="0" fillId="29" fontId="2" numFmtId="0" xfId="0" applyAlignment="1" applyFill="1" applyFont="1">
      <alignment horizontal="center" readingOrder="0"/>
    </xf>
    <xf borderId="0" fillId="30" fontId="2" numFmtId="0" xfId="0" applyAlignment="1" applyFill="1" applyFont="1">
      <alignment horizontal="center" readingOrder="0"/>
    </xf>
    <xf borderId="0" fillId="31" fontId="2" numFmtId="0" xfId="0" applyAlignment="1" applyFill="1" applyFont="1">
      <alignment horizontal="center" readingOrder="0"/>
    </xf>
    <xf borderId="0" fillId="27" fontId="6" numFmtId="0" xfId="0" applyAlignment="1" applyFont="1">
      <alignment horizontal="center" readingOrder="0" shrinkToFit="0" wrapText="1"/>
    </xf>
    <xf borderId="0" fillId="32" fontId="6" numFmtId="0" xfId="0" applyAlignment="1" applyFill="1" applyFont="1">
      <alignment horizontal="center" readingOrder="0" shrinkToFit="0" wrapText="1"/>
    </xf>
    <xf borderId="0" fillId="33" fontId="6" numFmtId="0" xfId="0" applyAlignment="1" applyFill="1" applyFont="1">
      <alignment horizontal="center" readingOrder="0" shrinkToFit="0" wrapText="1"/>
    </xf>
    <xf borderId="0" fillId="28" fontId="6" numFmtId="0" xfId="0" applyAlignment="1" applyFont="1">
      <alignment horizontal="center" readingOrder="0" shrinkToFit="0" wrapText="1"/>
    </xf>
    <xf borderId="0" fillId="34" fontId="6" numFmtId="0" xfId="0" applyAlignment="1" applyFill="1" applyFont="1">
      <alignment horizontal="center" readingOrder="0" shrinkToFit="0" wrapText="1"/>
    </xf>
    <xf borderId="0" fillId="29" fontId="6" numFmtId="0" xfId="0" applyAlignment="1" applyFont="1">
      <alignment horizontal="center" readingOrder="0" shrinkToFit="0" wrapText="1"/>
    </xf>
    <xf borderId="0" fillId="35" fontId="6" numFmtId="0" xfId="0" applyAlignment="1" applyFill="1" applyFont="1">
      <alignment horizontal="center" readingOrder="0" shrinkToFit="0" wrapText="1"/>
    </xf>
    <xf borderId="0" fillId="31" fontId="6" numFmtId="0" xfId="0" applyAlignment="1" applyFont="1">
      <alignment horizontal="center" readingOrder="0" shrinkToFit="0" wrapText="1"/>
    </xf>
    <xf borderId="0" fillId="36" fontId="3" numFmtId="164" xfId="0" applyAlignment="1" applyFill="1" applyFont="1" applyNumberFormat="1">
      <alignment readingOrder="0"/>
    </xf>
    <xf borderId="0" fillId="18" fontId="7" numFmtId="4" xfId="0" applyAlignment="1" applyFont="1" applyNumberFormat="1">
      <alignment horizontal="center" readingOrder="0"/>
    </xf>
    <xf borderId="0" fillId="18" fontId="7" numFmtId="4" xfId="0" applyAlignment="1" applyFont="1" applyNumberFormat="1">
      <alignment horizontal="center"/>
    </xf>
    <xf borderId="0" fillId="18" fontId="8" numFmtId="4" xfId="0" applyAlignment="1" applyFont="1" applyNumberFormat="1">
      <alignment horizontal="center"/>
    </xf>
    <xf borderId="0" fillId="24" fontId="7" numFmtId="4" xfId="0" applyAlignment="1" applyFont="1" applyNumberFormat="1">
      <alignment horizontal="center" readingOrder="0"/>
    </xf>
    <xf borderId="0" fillId="24" fontId="7" numFmtId="4" xfId="0" applyAlignment="1" applyFont="1" applyNumberFormat="1">
      <alignment horizontal="center"/>
    </xf>
    <xf borderId="0" fillId="24" fontId="8" numFmtId="4" xfId="0" applyAlignment="1" applyFont="1" applyNumberFormat="1">
      <alignment horizontal="center"/>
    </xf>
    <xf borderId="0" fillId="25" fontId="8" numFmtId="4" xfId="0" applyAlignment="1" applyFont="1" applyNumberFormat="1">
      <alignment horizontal="center"/>
    </xf>
    <xf borderId="0" fillId="6" fontId="8" numFmtId="4" xfId="0" applyAlignment="1" applyFont="1" applyNumberFormat="1">
      <alignment horizontal="center"/>
    </xf>
    <xf borderId="0" fillId="6" fontId="3" numFmtId="4" xfId="0" applyAlignment="1" applyFont="1" applyNumberFormat="1">
      <alignment horizontal="center"/>
    </xf>
    <xf borderId="0" fillId="6" fontId="3" numFmtId="4" xfId="0" applyAlignment="1" applyFont="1" applyNumberFormat="1">
      <alignment horizontal="center" readingOrder="0"/>
    </xf>
    <xf borderId="0" fillId="7" fontId="8" numFmtId="4" xfId="0" applyAlignment="1" applyFont="1" applyNumberFormat="1">
      <alignment horizontal="center"/>
    </xf>
    <xf borderId="0" fillId="37" fontId="8" numFmtId="4" xfId="0" applyAlignment="1" applyFill="1" applyFont="1" applyNumberFormat="1">
      <alignment horizontal="center"/>
    </xf>
    <xf borderId="0" fillId="36" fontId="3" numFmtId="4" xfId="0" applyAlignment="1" applyFont="1" applyNumberFormat="1">
      <alignment horizontal="center"/>
    </xf>
    <xf borderId="0" fillId="38" fontId="3" numFmtId="164" xfId="0" applyAlignment="1" applyFill="1" applyFont="1" applyNumberFormat="1">
      <alignment readingOrder="0"/>
    </xf>
    <xf borderId="0" fillId="19" fontId="7" numFmtId="4" xfId="0" applyAlignment="1" applyFont="1" applyNumberFormat="1">
      <alignment horizontal="center" readingOrder="0"/>
    </xf>
    <xf borderId="0" fillId="19" fontId="8" numFmtId="4" xfId="0" applyAlignment="1" applyFont="1" applyNumberFormat="1">
      <alignment horizontal="center"/>
    </xf>
    <xf borderId="0" fillId="25" fontId="7" numFmtId="4" xfId="0" applyAlignment="1" applyFont="1" applyNumberFormat="1">
      <alignment horizontal="center" readingOrder="0"/>
    </xf>
    <xf borderId="0" fillId="25" fontId="7" numFmtId="4" xfId="0" applyAlignment="1" applyFont="1" applyNumberFormat="1">
      <alignment horizontal="center"/>
    </xf>
    <xf borderId="0" fillId="7" fontId="3" numFmtId="4" xfId="0" applyAlignment="1" applyFont="1" applyNumberFormat="1">
      <alignment horizontal="center"/>
    </xf>
    <xf borderId="0" fillId="7" fontId="3" numFmtId="4" xfId="0" applyAlignment="1" applyFont="1" applyNumberFormat="1">
      <alignment horizontal="center" readingOrder="0"/>
    </xf>
    <xf borderId="0" fillId="38" fontId="3" numFmtId="4" xfId="0" applyAlignment="1" applyFont="1" applyNumberFormat="1">
      <alignment horizontal="center"/>
    </xf>
    <xf borderId="0" fillId="6" fontId="8" numFmtId="4" xfId="0" applyAlignment="1" applyFont="1" applyNumberFormat="1">
      <alignment horizontal="center" readingOrder="0"/>
    </xf>
    <xf borderId="0" fillId="19" fontId="7" numFmtId="4" xfId="0" applyAlignment="1" applyFont="1" applyNumberFormat="1">
      <alignment horizontal="center"/>
    </xf>
    <xf borderId="0" fillId="24" fontId="8" numFmtId="4" xfId="0" applyAlignment="1" applyFont="1" applyNumberFormat="1">
      <alignment horizontal="center" readingOrder="0"/>
    </xf>
    <xf borderId="0" fillId="7" fontId="8" numFmtId="4" xfId="0" applyAlignment="1" applyFont="1" applyNumberFormat="1">
      <alignment horizontal="center" readingOrder="0"/>
    </xf>
    <xf borderId="0" fillId="36" fontId="3" numFmtId="165" xfId="0" applyAlignment="1" applyFont="1" applyNumberFormat="1">
      <alignment readingOrder="0"/>
    </xf>
    <xf borderId="0" fillId="38" fontId="3" numFmtId="166" xfId="0" applyAlignment="1" applyFont="1" applyNumberFormat="1">
      <alignment readingOrder="0"/>
    </xf>
    <xf borderId="0" fillId="36" fontId="3" numFmtId="0" xfId="0" applyFont="1"/>
    <xf borderId="0" fillId="38" fontId="3" numFmtId="0" xfId="0" applyFont="1"/>
    <xf borderId="0" fillId="26" fontId="2" numFmtId="4" xfId="0" applyAlignment="1" applyFont="1" applyNumberFormat="1">
      <alignment horizontal="center"/>
    </xf>
    <xf borderId="0" fillId="12" fontId="3" numFmtId="0" xfId="0" applyFont="1"/>
    <xf borderId="0" fillId="13" fontId="3" numFmtId="0" xfId="0" applyFont="1"/>
    <xf borderId="0" fillId="26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1" fontId="5" numFmtId="0" xfId="0" applyAlignment="1" applyFont="1">
      <alignment horizontal="center" readingOrder="0"/>
    </xf>
    <xf borderId="0" fillId="39" fontId="3" numFmtId="0" xfId="0" applyAlignment="1" applyFill="1" applyFont="1">
      <alignment readingOrder="0"/>
    </xf>
    <xf quotePrefix="1" borderId="0" fillId="0" fontId="3" numFmtId="0" xfId="0" applyAlignment="1" applyFont="1">
      <alignment readingOrder="0"/>
    </xf>
    <xf borderId="0" fillId="18" fontId="3" numFmtId="4" xfId="0" applyFont="1" applyNumberFormat="1"/>
    <xf borderId="0" fillId="18" fontId="3" numFmtId="167" xfId="0" applyFont="1" applyNumberFormat="1"/>
    <xf borderId="0" fillId="0" fontId="3" numFmtId="4" xfId="0" applyFont="1" applyNumberFormat="1"/>
    <xf borderId="0" fillId="0" fontId="3" numFmtId="167" xfId="0" applyFont="1" applyNumberFormat="1"/>
    <xf borderId="0" fillId="27" fontId="9" numFmtId="0" xfId="0" applyAlignment="1" applyFont="1">
      <alignment readingOrder="0"/>
    </xf>
    <xf borderId="0" fillId="27" fontId="9" numFmtId="4" xfId="0" applyFont="1" applyNumberFormat="1"/>
    <xf borderId="0" fillId="27" fontId="9" numFmtId="167" xfId="0" applyAlignment="1" applyFont="1" applyNumberFormat="1">
      <alignment readingOrder="0"/>
    </xf>
    <xf borderId="0" fillId="24" fontId="3" numFmtId="4" xfId="0" applyFont="1" applyNumberFormat="1"/>
    <xf borderId="0" fillId="24" fontId="3" numFmtId="167" xfId="0" applyFont="1" applyNumberFormat="1"/>
    <xf borderId="0" fillId="28" fontId="9" numFmtId="0" xfId="0" applyAlignment="1" applyFont="1">
      <alignment readingOrder="0"/>
    </xf>
    <xf borderId="0" fillId="28" fontId="9" numFmtId="4" xfId="0" applyFont="1" applyNumberFormat="1"/>
    <xf borderId="0" fillId="28" fontId="9" numFmtId="167" xfId="0" applyFont="1" applyNumberFormat="1"/>
    <xf borderId="0" fillId="6" fontId="3" numFmtId="4" xfId="0" applyFont="1" applyNumberFormat="1"/>
    <xf borderId="0" fillId="6" fontId="3" numFmtId="167" xfId="0" applyFont="1" applyNumberFormat="1"/>
    <xf borderId="0" fillId="29" fontId="9" numFmtId="0" xfId="0" applyAlignment="1" applyFont="1">
      <alignment readingOrder="0"/>
    </xf>
    <xf borderId="0" fillId="29" fontId="9" numFmtId="4" xfId="0" applyFont="1" applyNumberFormat="1"/>
    <xf borderId="0" fillId="29" fontId="9" numFmtId="167" xfId="0" applyFont="1" applyNumberFormat="1"/>
    <xf borderId="0" fillId="30" fontId="5" numFmtId="0" xfId="0" applyAlignment="1" applyFont="1">
      <alignment readingOrder="0"/>
    </xf>
    <xf borderId="0" fillId="30" fontId="5" numFmtId="4" xfId="0" applyFont="1" applyNumberFormat="1"/>
    <xf borderId="0" fillId="30" fontId="5" numFmtId="167" xfId="0" applyFont="1" applyNumberFormat="1"/>
    <xf borderId="0" fillId="6" fontId="3" numFmtId="0" xfId="0" applyAlignment="1" applyFont="1">
      <alignment readingOrder="0"/>
    </xf>
    <xf borderId="0" fillId="7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8EAFF"/>
          <bgColor rgb="FFD8EA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7FF"/>
          <bgColor rgb="FFF2F7FF"/>
        </patternFill>
      </fill>
      <border/>
    </dxf>
  </dxfs>
  <tableStyles count="1">
    <tableStyle count="3" pivot="0" name="Suivi Journali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S36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uivi Journali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97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4" t="s">
        <v>7</v>
      </c>
      <c r="B4" s="4" t="s">
        <v>5</v>
      </c>
      <c r="C4" s="4" t="s">
        <v>6</v>
      </c>
    </row>
    <row r="5">
      <c r="A5" s="3" t="s">
        <v>8</v>
      </c>
      <c r="B5" s="3" t="s">
        <v>5</v>
      </c>
      <c r="C5" s="3" t="s">
        <v>6</v>
      </c>
    </row>
    <row r="6">
      <c r="A6" s="4" t="s">
        <v>9</v>
      </c>
      <c r="B6" s="4" t="s">
        <v>5</v>
      </c>
      <c r="C6" s="4" t="s">
        <v>6</v>
      </c>
    </row>
    <row r="7">
      <c r="A7" s="3" t="s">
        <v>10</v>
      </c>
      <c r="B7" s="3" t="s">
        <v>5</v>
      </c>
      <c r="C7" s="3" t="s">
        <v>6</v>
      </c>
    </row>
    <row r="8">
      <c r="A8" s="4" t="s">
        <v>11</v>
      </c>
      <c r="B8" s="4" t="s">
        <v>5</v>
      </c>
      <c r="C8" s="4" t="s">
        <v>6</v>
      </c>
    </row>
    <row r="9">
      <c r="A9" s="3" t="s">
        <v>12</v>
      </c>
      <c r="B9" s="3" t="s">
        <v>5</v>
      </c>
      <c r="C9" s="3" t="s">
        <v>6</v>
      </c>
    </row>
    <row r="10">
      <c r="A10" s="4" t="s">
        <v>13</v>
      </c>
      <c r="B10" s="4" t="s">
        <v>5</v>
      </c>
      <c r="C10" s="4" t="s">
        <v>6</v>
      </c>
    </row>
    <row r="11">
      <c r="A11" s="3" t="s">
        <v>14</v>
      </c>
      <c r="B11" s="3" t="s">
        <v>5</v>
      </c>
      <c r="C11" s="3" t="s">
        <v>6</v>
      </c>
    </row>
    <row r="12">
      <c r="A12" s="4" t="s">
        <v>15</v>
      </c>
      <c r="B12" s="4" t="s">
        <v>5</v>
      </c>
      <c r="C12" s="4" t="s">
        <v>6</v>
      </c>
    </row>
    <row r="13">
      <c r="A13" s="3" t="s">
        <v>16</v>
      </c>
      <c r="B13" s="3" t="s">
        <v>5</v>
      </c>
      <c r="C13" s="3" t="s">
        <v>6</v>
      </c>
    </row>
    <row r="14">
      <c r="A14" s="4" t="s">
        <v>17</v>
      </c>
      <c r="B14" s="4" t="s">
        <v>5</v>
      </c>
      <c r="C14" s="4" t="s">
        <v>6</v>
      </c>
    </row>
    <row r="15">
      <c r="A15" s="3" t="s">
        <v>18</v>
      </c>
      <c r="B15" s="3" t="s">
        <v>5</v>
      </c>
      <c r="C15" s="3" t="s">
        <v>6</v>
      </c>
    </row>
  </sheetData>
  <mergeCells count="1">
    <mergeCell ref="A1:C1"/>
  </mergeCells>
  <dataValidations>
    <dataValidation type="list" allowBlank="1" sqref="C3:C15">
      <formula1>"Bouteille,Boîte,Casier,Kg,L,Paquet,Pièce,Sachet"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8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5" t="s">
        <v>19</v>
      </c>
    </row>
    <row r="2">
      <c r="A2" s="6" t="s">
        <v>1</v>
      </c>
      <c r="B2" s="6" t="s">
        <v>2</v>
      </c>
      <c r="C2" s="6" t="s">
        <v>3</v>
      </c>
    </row>
    <row r="3">
      <c r="A3" s="7" t="s">
        <v>20</v>
      </c>
      <c r="B3" s="7" t="s">
        <v>5</v>
      </c>
      <c r="C3" s="7" t="s">
        <v>5</v>
      </c>
    </row>
    <row r="4">
      <c r="A4" s="8" t="s">
        <v>21</v>
      </c>
      <c r="B4" s="8" t="s">
        <v>5</v>
      </c>
      <c r="C4" s="8" t="s">
        <v>5</v>
      </c>
    </row>
    <row r="5">
      <c r="A5" s="7" t="s">
        <v>22</v>
      </c>
      <c r="B5" s="7" t="s">
        <v>5</v>
      </c>
      <c r="C5" s="7" t="s">
        <v>5</v>
      </c>
    </row>
    <row r="6">
      <c r="A6" s="8" t="s">
        <v>23</v>
      </c>
      <c r="B6" s="8" t="s">
        <v>5</v>
      </c>
      <c r="C6" s="8" t="s">
        <v>5</v>
      </c>
    </row>
    <row r="7">
      <c r="A7" s="7" t="s">
        <v>24</v>
      </c>
      <c r="B7" s="7" t="s">
        <v>5</v>
      </c>
      <c r="C7" s="7" t="s">
        <v>5</v>
      </c>
    </row>
    <row r="8">
      <c r="A8" s="8" t="s">
        <v>25</v>
      </c>
      <c r="B8" s="8" t="s">
        <v>5</v>
      </c>
      <c r="C8" s="8" t="s">
        <v>5</v>
      </c>
    </row>
    <row r="9">
      <c r="A9" s="7" t="s">
        <v>26</v>
      </c>
      <c r="B9" s="7" t="s">
        <v>5</v>
      </c>
      <c r="C9" s="7" t="s">
        <v>5</v>
      </c>
    </row>
    <row r="10">
      <c r="A10" s="8" t="s">
        <v>27</v>
      </c>
      <c r="B10" s="8" t="s">
        <v>5</v>
      </c>
      <c r="C10" s="8" t="s">
        <v>5</v>
      </c>
    </row>
    <row r="11">
      <c r="A11" s="7" t="s">
        <v>28</v>
      </c>
      <c r="B11" s="7" t="s">
        <v>5</v>
      </c>
      <c r="C11" s="7" t="s">
        <v>5</v>
      </c>
    </row>
    <row r="12">
      <c r="A12" s="8" t="s">
        <v>29</v>
      </c>
      <c r="B12" s="8" t="s">
        <v>5</v>
      </c>
      <c r="C12" s="8" t="s">
        <v>5</v>
      </c>
    </row>
    <row r="13">
      <c r="A13" s="7" t="s">
        <v>30</v>
      </c>
      <c r="B13" s="7" t="s">
        <v>5</v>
      </c>
      <c r="C13" s="7" t="s">
        <v>5</v>
      </c>
    </row>
    <row r="14">
      <c r="A14" s="8" t="s">
        <v>31</v>
      </c>
      <c r="B14" s="8" t="s">
        <v>5</v>
      </c>
      <c r="C14" s="8" t="s">
        <v>5</v>
      </c>
    </row>
    <row r="15">
      <c r="A15" s="7" t="s">
        <v>32</v>
      </c>
      <c r="B15" s="7" t="s">
        <v>5</v>
      </c>
      <c r="C15" s="7" t="s">
        <v>5</v>
      </c>
    </row>
    <row r="16">
      <c r="A16" s="8" t="s">
        <v>33</v>
      </c>
      <c r="B16" s="8" t="s">
        <v>5</v>
      </c>
      <c r="C16" s="8" t="s">
        <v>5</v>
      </c>
    </row>
    <row r="17">
      <c r="A17" s="7" t="s">
        <v>34</v>
      </c>
      <c r="B17" s="7" t="s">
        <v>5</v>
      </c>
      <c r="C17" s="7" t="s">
        <v>5</v>
      </c>
    </row>
    <row r="18">
      <c r="A18" s="8" t="s">
        <v>35</v>
      </c>
      <c r="B18" s="8" t="s">
        <v>5</v>
      </c>
      <c r="C18" s="8" t="s">
        <v>5</v>
      </c>
    </row>
    <row r="19">
      <c r="A19" s="7" t="s">
        <v>36</v>
      </c>
      <c r="B19" s="7" t="s">
        <v>5</v>
      </c>
      <c r="C19" s="7" t="s">
        <v>5</v>
      </c>
    </row>
    <row r="20">
      <c r="A20" s="8" t="s">
        <v>37</v>
      </c>
      <c r="B20" s="8" t="s">
        <v>5</v>
      </c>
      <c r="C20" s="8" t="s">
        <v>5</v>
      </c>
    </row>
    <row r="21">
      <c r="A21" s="7" t="s">
        <v>38</v>
      </c>
      <c r="B21" s="7" t="s">
        <v>5</v>
      </c>
      <c r="C21" s="7" t="s">
        <v>5</v>
      </c>
    </row>
    <row r="22">
      <c r="A22" s="8" t="s">
        <v>39</v>
      </c>
      <c r="B22" s="8" t="s">
        <v>5</v>
      </c>
      <c r="C22" s="8" t="s">
        <v>5</v>
      </c>
    </row>
    <row r="23">
      <c r="A23" s="7" t="s">
        <v>40</v>
      </c>
      <c r="B23" s="7" t="s">
        <v>5</v>
      </c>
      <c r="C23" s="7" t="s">
        <v>5</v>
      </c>
    </row>
    <row r="24">
      <c r="A24" s="8" t="s">
        <v>41</v>
      </c>
      <c r="B24" s="8" t="s">
        <v>5</v>
      </c>
      <c r="C24" s="8" t="s">
        <v>5</v>
      </c>
    </row>
    <row r="25">
      <c r="A25" s="7" t="s">
        <v>42</v>
      </c>
      <c r="B25" s="7" t="s">
        <v>5</v>
      </c>
      <c r="C25" s="7" t="s">
        <v>5</v>
      </c>
    </row>
    <row r="26">
      <c r="A26" s="8" t="s">
        <v>43</v>
      </c>
      <c r="B26" s="8" t="s">
        <v>5</v>
      </c>
      <c r="C26" s="8" t="s">
        <v>5</v>
      </c>
    </row>
    <row r="27">
      <c r="A27" s="7" t="s">
        <v>44</v>
      </c>
      <c r="B27" s="7" t="s">
        <v>5</v>
      </c>
      <c r="C27" s="7" t="s">
        <v>5</v>
      </c>
    </row>
    <row r="28">
      <c r="A28" s="8" t="s">
        <v>45</v>
      </c>
      <c r="B28" s="8" t="s">
        <v>5</v>
      </c>
      <c r="C28" s="8" t="s">
        <v>5</v>
      </c>
    </row>
    <row r="29">
      <c r="A29" s="7" t="s">
        <v>46</v>
      </c>
      <c r="B29" s="7" t="s">
        <v>5</v>
      </c>
      <c r="C29" s="7" t="s">
        <v>5</v>
      </c>
    </row>
    <row r="30">
      <c r="A30" s="8" t="s">
        <v>47</v>
      </c>
      <c r="B30" s="8" t="s">
        <v>5</v>
      </c>
      <c r="C30" s="8" t="s">
        <v>5</v>
      </c>
    </row>
    <row r="31">
      <c r="A31" s="7" t="s">
        <v>48</v>
      </c>
      <c r="B31" s="7" t="s">
        <v>5</v>
      </c>
      <c r="C31" s="7" t="s">
        <v>5</v>
      </c>
    </row>
    <row r="32">
      <c r="A32" s="8" t="s">
        <v>49</v>
      </c>
      <c r="B32" s="8" t="s">
        <v>5</v>
      </c>
      <c r="C32" s="8" t="s">
        <v>5</v>
      </c>
    </row>
    <row r="33">
      <c r="A33" s="7" t="s">
        <v>50</v>
      </c>
      <c r="B33" s="7" t="s">
        <v>5</v>
      </c>
      <c r="C33" s="7" t="s">
        <v>5</v>
      </c>
    </row>
    <row r="34">
      <c r="A34" s="8" t="s">
        <v>51</v>
      </c>
      <c r="B34" s="8" t="s">
        <v>5</v>
      </c>
      <c r="C34" s="8" t="s">
        <v>5</v>
      </c>
    </row>
    <row r="35">
      <c r="A35" s="7" t="s">
        <v>52</v>
      </c>
      <c r="B35" s="7" t="s">
        <v>5</v>
      </c>
      <c r="C35" s="7" t="s">
        <v>5</v>
      </c>
    </row>
    <row r="36">
      <c r="A36" s="8" t="s">
        <v>53</v>
      </c>
      <c r="B36" s="8" t="s">
        <v>5</v>
      </c>
      <c r="C36" s="8" t="s">
        <v>5</v>
      </c>
    </row>
    <row r="37">
      <c r="A37" s="7" t="s">
        <v>54</v>
      </c>
      <c r="B37" s="7" t="s">
        <v>5</v>
      </c>
      <c r="C37" s="7" t="s">
        <v>5</v>
      </c>
    </row>
    <row r="38">
      <c r="A38" s="8" t="s">
        <v>55</v>
      </c>
      <c r="B38" s="8" t="s">
        <v>5</v>
      </c>
      <c r="C38" s="8" t="s">
        <v>5</v>
      </c>
    </row>
    <row r="39">
      <c r="A39" s="7" t="s">
        <v>56</v>
      </c>
      <c r="B39" s="7" t="s">
        <v>5</v>
      </c>
      <c r="C39" s="7" t="s">
        <v>5</v>
      </c>
    </row>
    <row r="40">
      <c r="A40" s="8" t="s">
        <v>57</v>
      </c>
      <c r="B40" s="8" t="s">
        <v>5</v>
      </c>
      <c r="C40" s="8" t="s">
        <v>5</v>
      </c>
    </row>
    <row r="41">
      <c r="A41" s="7" t="s">
        <v>58</v>
      </c>
      <c r="B41" s="7" t="s">
        <v>5</v>
      </c>
      <c r="C41" s="7" t="s">
        <v>5</v>
      </c>
    </row>
    <row r="42">
      <c r="A42" s="8" t="s">
        <v>59</v>
      </c>
      <c r="B42" s="8" t="s">
        <v>5</v>
      </c>
      <c r="C42" s="8" t="s">
        <v>5</v>
      </c>
    </row>
    <row r="43">
      <c r="A43" s="7" t="s">
        <v>60</v>
      </c>
      <c r="B43" s="7" t="s">
        <v>5</v>
      </c>
      <c r="C43" s="7" t="s">
        <v>5</v>
      </c>
    </row>
    <row r="44">
      <c r="A44" s="8" t="s">
        <v>61</v>
      </c>
      <c r="B44" s="8" t="s">
        <v>5</v>
      </c>
      <c r="C44" s="8" t="s">
        <v>5</v>
      </c>
    </row>
    <row r="45">
      <c r="A45" s="7" t="s">
        <v>62</v>
      </c>
      <c r="B45" s="7" t="s">
        <v>5</v>
      </c>
      <c r="C45" s="7" t="s">
        <v>5</v>
      </c>
    </row>
    <row r="46">
      <c r="A46" s="8" t="s">
        <v>63</v>
      </c>
      <c r="B46" s="8" t="s">
        <v>5</v>
      </c>
      <c r="C46" s="8" t="s">
        <v>5</v>
      </c>
    </row>
    <row r="47">
      <c r="A47" s="7" t="s">
        <v>64</v>
      </c>
      <c r="B47" s="7" t="s">
        <v>5</v>
      </c>
      <c r="C47" s="7" t="s">
        <v>5</v>
      </c>
    </row>
    <row r="48">
      <c r="A48" s="8" t="s">
        <v>65</v>
      </c>
      <c r="B48" s="8" t="s">
        <v>5</v>
      </c>
      <c r="C48" s="8" t="s">
        <v>5</v>
      </c>
    </row>
    <row r="49">
      <c r="A49" s="7" t="s">
        <v>66</v>
      </c>
      <c r="B49" s="7" t="s">
        <v>5</v>
      </c>
      <c r="C49" s="7" t="s">
        <v>5</v>
      </c>
    </row>
    <row r="50">
      <c r="A50" s="8" t="s">
        <v>67</v>
      </c>
      <c r="B50" s="8" t="s">
        <v>5</v>
      </c>
      <c r="C50" s="8" t="s">
        <v>5</v>
      </c>
    </row>
    <row r="51">
      <c r="A51" s="7" t="s">
        <v>68</v>
      </c>
      <c r="B51" s="7" t="s">
        <v>5</v>
      </c>
      <c r="C51" s="7" t="s">
        <v>5</v>
      </c>
    </row>
    <row r="52">
      <c r="A52" s="8" t="s">
        <v>69</v>
      </c>
      <c r="B52" s="8" t="s">
        <v>5</v>
      </c>
      <c r="C52" s="8" t="s">
        <v>5</v>
      </c>
    </row>
    <row r="53">
      <c r="A53" s="7" t="s">
        <v>70</v>
      </c>
      <c r="B53" s="7" t="s">
        <v>5</v>
      </c>
      <c r="C53" s="7" t="s">
        <v>5</v>
      </c>
    </row>
    <row r="54">
      <c r="A54" s="8" t="s">
        <v>71</v>
      </c>
      <c r="B54" s="8" t="s">
        <v>5</v>
      </c>
      <c r="C54" s="8" t="s">
        <v>5</v>
      </c>
    </row>
    <row r="55">
      <c r="A55" s="7" t="s">
        <v>72</v>
      </c>
      <c r="B55" s="7" t="s">
        <v>5</v>
      </c>
      <c r="C55" s="7" t="s">
        <v>5</v>
      </c>
    </row>
    <row r="56">
      <c r="A56" s="8" t="s">
        <v>73</v>
      </c>
      <c r="B56" s="8" t="s">
        <v>5</v>
      </c>
      <c r="C56" s="8" t="s">
        <v>5</v>
      </c>
    </row>
    <row r="57">
      <c r="A57" s="7" t="s">
        <v>74</v>
      </c>
      <c r="B57" s="7" t="s">
        <v>5</v>
      </c>
      <c r="C57" s="7" t="s">
        <v>5</v>
      </c>
    </row>
    <row r="58">
      <c r="A58" s="8" t="s">
        <v>75</v>
      </c>
      <c r="B58" s="8" t="s">
        <v>5</v>
      </c>
      <c r="C58" s="8" t="s">
        <v>5</v>
      </c>
    </row>
    <row r="59">
      <c r="A59" s="7" t="s">
        <v>76</v>
      </c>
      <c r="B59" s="7" t="s">
        <v>5</v>
      </c>
      <c r="C59" s="7" t="s">
        <v>5</v>
      </c>
    </row>
    <row r="60">
      <c r="A60" s="8" t="s">
        <v>77</v>
      </c>
      <c r="B60" s="8" t="s">
        <v>5</v>
      </c>
      <c r="C60" s="8" t="s">
        <v>5</v>
      </c>
    </row>
    <row r="61">
      <c r="A61" s="7" t="s">
        <v>78</v>
      </c>
      <c r="B61" s="7" t="s">
        <v>5</v>
      </c>
      <c r="C61" s="7" t="s">
        <v>5</v>
      </c>
    </row>
    <row r="62">
      <c r="A62" s="8" t="s">
        <v>79</v>
      </c>
      <c r="B62" s="8" t="s">
        <v>5</v>
      </c>
      <c r="C62" s="8" t="s">
        <v>5</v>
      </c>
    </row>
    <row r="63">
      <c r="A63" s="7" t="s">
        <v>80</v>
      </c>
      <c r="B63" s="7" t="s">
        <v>5</v>
      </c>
      <c r="C63" s="7" t="s">
        <v>5</v>
      </c>
    </row>
    <row r="64">
      <c r="A64" s="8" t="s">
        <v>81</v>
      </c>
      <c r="B64" s="8" t="s">
        <v>5</v>
      </c>
      <c r="C64" s="8" t="s">
        <v>5</v>
      </c>
    </row>
    <row r="65">
      <c r="A65" s="7" t="s">
        <v>82</v>
      </c>
      <c r="B65" s="7" t="s">
        <v>5</v>
      </c>
      <c r="C65" s="7" t="s">
        <v>5</v>
      </c>
    </row>
    <row r="66">
      <c r="A66" s="8" t="s">
        <v>83</v>
      </c>
      <c r="B66" s="8" t="s">
        <v>5</v>
      </c>
      <c r="C66" s="8" t="s">
        <v>5</v>
      </c>
    </row>
    <row r="67">
      <c r="A67" s="7" t="s">
        <v>84</v>
      </c>
      <c r="B67" s="7" t="s">
        <v>5</v>
      </c>
      <c r="C67" s="7" t="s">
        <v>5</v>
      </c>
    </row>
    <row r="68">
      <c r="A68" s="8" t="s">
        <v>85</v>
      </c>
      <c r="B68" s="8" t="s">
        <v>5</v>
      </c>
      <c r="C68" s="8" t="s">
        <v>5</v>
      </c>
    </row>
    <row r="69">
      <c r="A69" s="7" t="s">
        <v>86</v>
      </c>
      <c r="B69" s="7" t="s">
        <v>5</v>
      </c>
      <c r="C69" s="7" t="s">
        <v>5</v>
      </c>
    </row>
    <row r="70">
      <c r="A70" s="8" t="s">
        <v>87</v>
      </c>
      <c r="B70" s="8" t="s">
        <v>5</v>
      </c>
      <c r="C70" s="8" t="s">
        <v>5</v>
      </c>
    </row>
    <row r="71">
      <c r="A71" s="7" t="s">
        <v>88</v>
      </c>
      <c r="B71" s="7" t="s">
        <v>5</v>
      </c>
      <c r="C71" s="7" t="s">
        <v>5</v>
      </c>
    </row>
    <row r="72">
      <c r="A72" s="8" t="s">
        <v>89</v>
      </c>
      <c r="B72" s="8" t="s">
        <v>5</v>
      </c>
      <c r="C72" s="8" t="s">
        <v>5</v>
      </c>
    </row>
    <row r="73">
      <c r="A73" s="7" t="s">
        <v>90</v>
      </c>
      <c r="B73" s="7" t="s">
        <v>5</v>
      </c>
      <c r="C73" s="7" t="s">
        <v>5</v>
      </c>
    </row>
  </sheetData>
  <mergeCells count="1">
    <mergeCell ref="A1:C1"/>
  </mergeCells>
  <dataValidations>
    <dataValidation type="list" allowBlank="1" sqref="C3:C73">
      <formula1>"Bouteille,Boîte,Casier,Kg,L,Paquet,Pièce,Sachet"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27B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9" t="s">
        <v>91</v>
      </c>
    </row>
    <row r="2">
      <c r="A2" s="10" t="s">
        <v>1</v>
      </c>
      <c r="B2" s="10" t="s">
        <v>2</v>
      </c>
      <c r="C2" s="10" t="s">
        <v>3</v>
      </c>
    </row>
    <row r="3">
      <c r="A3" s="11" t="s">
        <v>92</v>
      </c>
      <c r="B3" s="11" t="s">
        <v>5</v>
      </c>
      <c r="C3" s="11" t="s">
        <v>5</v>
      </c>
    </row>
    <row r="4">
      <c r="A4" s="12" t="s">
        <v>93</v>
      </c>
      <c r="B4" s="12" t="s">
        <v>5</v>
      </c>
      <c r="C4" s="12" t="s">
        <v>5</v>
      </c>
    </row>
    <row r="5">
      <c r="A5" s="11" t="s">
        <v>94</v>
      </c>
      <c r="B5" s="11" t="s">
        <v>5</v>
      </c>
      <c r="C5" s="11" t="s">
        <v>5</v>
      </c>
    </row>
    <row r="6">
      <c r="A6" s="12" t="s">
        <v>95</v>
      </c>
      <c r="B6" s="12" t="s">
        <v>5</v>
      </c>
      <c r="C6" s="12" t="s">
        <v>5</v>
      </c>
    </row>
    <row r="7">
      <c r="A7" s="11" t="s">
        <v>96</v>
      </c>
      <c r="B7" s="11" t="s">
        <v>5</v>
      </c>
      <c r="C7" s="11" t="s">
        <v>5</v>
      </c>
    </row>
    <row r="8">
      <c r="A8" s="12" t="s">
        <v>97</v>
      </c>
      <c r="B8" s="12" t="s">
        <v>5</v>
      </c>
      <c r="C8" s="12" t="s">
        <v>5</v>
      </c>
    </row>
    <row r="9">
      <c r="A9" s="11" t="s">
        <v>98</v>
      </c>
      <c r="B9" s="11" t="s">
        <v>5</v>
      </c>
      <c r="C9" s="11" t="s">
        <v>5</v>
      </c>
    </row>
    <row r="10">
      <c r="A10" s="12" t="s">
        <v>99</v>
      </c>
      <c r="B10" s="12" t="s">
        <v>5</v>
      </c>
      <c r="C10" s="12" t="s">
        <v>5</v>
      </c>
    </row>
    <row r="11">
      <c r="A11" s="11" t="s">
        <v>100</v>
      </c>
      <c r="B11" s="11" t="s">
        <v>5</v>
      </c>
      <c r="C11" s="11" t="s">
        <v>5</v>
      </c>
    </row>
    <row r="12">
      <c r="A12" s="12" t="s">
        <v>101</v>
      </c>
      <c r="B12" s="12" t="s">
        <v>5</v>
      </c>
      <c r="C12" s="12" t="s">
        <v>5</v>
      </c>
    </row>
    <row r="13">
      <c r="A13" s="11" t="s">
        <v>102</v>
      </c>
      <c r="B13" s="11" t="s">
        <v>5</v>
      </c>
      <c r="C13" s="11" t="s">
        <v>5</v>
      </c>
    </row>
  </sheetData>
  <mergeCells count="1">
    <mergeCell ref="A1:C1"/>
  </mergeCells>
  <dataValidations>
    <dataValidation type="list" allowBlank="1" sqref="C3:C13">
      <formula1>"Bouteille,Boîte,Casier,Kg,L,Paquet,Pièce,Sachet"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13" t="s">
        <v>103</v>
      </c>
    </row>
    <row r="2">
      <c r="A2" s="14" t="s">
        <v>104</v>
      </c>
      <c r="B2" s="14" t="s">
        <v>105</v>
      </c>
      <c r="C2" s="14" t="s">
        <v>106</v>
      </c>
    </row>
    <row r="3">
      <c r="A3" s="15" t="s">
        <v>107</v>
      </c>
      <c r="B3" s="15" t="s">
        <v>108</v>
      </c>
      <c r="C3" s="16" t="s">
        <v>109</v>
      </c>
    </row>
    <row r="4">
      <c r="A4" s="17" t="s">
        <v>110</v>
      </c>
      <c r="B4" s="17" t="s">
        <v>108</v>
      </c>
      <c r="C4" s="18" t="s">
        <v>111</v>
      </c>
    </row>
    <row r="5">
      <c r="A5" s="15" t="s">
        <v>112</v>
      </c>
      <c r="B5" s="15" t="s">
        <v>113</v>
      </c>
      <c r="C5" s="16" t="s">
        <v>114</v>
      </c>
    </row>
    <row r="6">
      <c r="A6" s="17" t="s">
        <v>115</v>
      </c>
      <c r="B6" s="17" t="s">
        <v>113</v>
      </c>
      <c r="C6" s="18" t="s">
        <v>116</v>
      </c>
    </row>
    <row r="7">
      <c r="A7" s="15" t="s">
        <v>117</v>
      </c>
      <c r="B7" s="15" t="s">
        <v>118</v>
      </c>
      <c r="C7" s="16" t="s">
        <v>119</v>
      </c>
    </row>
    <row r="8">
      <c r="A8" s="17" t="s">
        <v>120</v>
      </c>
      <c r="B8" s="17" t="s">
        <v>118</v>
      </c>
      <c r="C8" s="18" t="s">
        <v>121</v>
      </c>
    </row>
    <row r="9">
      <c r="A9" s="15" t="s">
        <v>122</v>
      </c>
      <c r="B9" s="15" t="s">
        <v>123</v>
      </c>
      <c r="C9" s="16" t="s">
        <v>124</v>
      </c>
    </row>
    <row r="10">
      <c r="A10" s="17" t="s">
        <v>125</v>
      </c>
      <c r="B10" s="17" t="s">
        <v>123</v>
      </c>
      <c r="C10" s="18" t="s">
        <v>126</v>
      </c>
    </row>
    <row r="11">
      <c r="A11" s="15" t="s">
        <v>127</v>
      </c>
      <c r="B11" s="15" t="s">
        <v>128</v>
      </c>
      <c r="C11" s="16" t="s">
        <v>129</v>
      </c>
    </row>
    <row r="12">
      <c r="A12" s="17" t="s">
        <v>130</v>
      </c>
      <c r="B12" s="17" t="s">
        <v>128</v>
      </c>
      <c r="C12" s="18" t="s">
        <v>131</v>
      </c>
    </row>
    <row r="13">
      <c r="A13" s="15" t="s">
        <v>132</v>
      </c>
      <c r="B13" s="15" t="s">
        <v>133</v>
      </c>
      <c r="C13" s="15" t="s">
        <v>5</v>
      </c>
    </row>
    <row r="14">
      <c r="A14" s="17" t="s">
        <v>134</v>
      </c>
      <c r="B14" s="17" t="s">
        <v>133</v>
      </c>
      <c r="C14" s="17" t="s">
        <v>5</v>
      </c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10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19" t="s">
        <v>135</v>
      </c>
    </row>
    <row r="2">
      <c r="A2" s="20" t="s">
        <v>1</v>
      </c>
      <c r="B2" s="20" t="s">
        <v>2</v>
      </c>
      <c r="C2" s="20" t="s">
        <v>3</v>
      </c>
    </row>
    <row r="3">
      <c r="A3" s="21" t="s">
        <v>136</v>
      </c>
      <c r="B3" s="21" t="s">
        <v>5</v>
      </c>
      <c r="C3" s="21" t="s">
        <v>5</v>
      </c>
    </row>
    <row r="4">
      <c r="A4" s="22" t="s">
        <v>137</v>
      </c>
      <c r="B4" s="22" t="s">
        <v>5</v>
      </c>
      <c r="C4" s="22" t="s">
        <v>5</v>
      </c>
    </row>
    <row r="5">
      <c r="A5" s="21" t="s">
        <v>138</v>
      </c>
      <c r="B5" s="21" t="s">
        <v>5</v>
      </c>
      <c r="C5" s="21" t="s">
        <v>5</v>
      </c>
    </row>
    <row r="6">
      <c r="A6" s="22" t="s">
        <v>139</v>
      </c>
      <c r="B6" s="22" t="s">
        <v>5</v>
      </c>
      <c r="C6" s="22" t="s">
        <v>5</v>
      </c>
    </row>
    <row r="7">
      <c r="A7" s="21" t="s">
        <v>140</v>
      </c>
      <c r="B7" s="21" t="s">
        <v>5</v>
      </c>
      <c r="C7" s="21" t="s">
        <v>5</v>
      </c>
    </row>
  </sheetData>
  <mergeCells count="1">
    <mergeCell ref="A1:C1"/>
  </mergeCells>
  <dataValidations>
    <dataValidation type="list" allowBlank="1" sqref="C3:C7">
      <formula1>"Bouteille,Boîte,Casier,Kg,L,Paquet,Pièce,Sachet"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23" t="s">
        <v>141</v>
      </c>
    </row>
    <row r="2">
      <c r="A2" s="24" t="s">
        <v>1</v>
      </c>
      <c r="B2" s="24" t="s">
        <v>2</v>
      </c>
      <c r="C2" s="24" t="s">
        <v>3</v>
      </c>
    </row>
    <row r="3">
      <c r="A3" s="25" t="s">
        <v>142</v>
      </c>
      <c r="B3" s="25" t="s">
        <v>5</v>
      </c>
      <c r="C3" s="25" t="s">
        <v>5</v>
      </c>
    </row>
    <row r="4">
      <c r="A4" s="26" t="s">
        <v>143</v>
      </c>
      <c r="B4" s="26" t="s">
        <v>5</v>
      </c>
      <c r="C4" s="26" t="s">
        <v>5</v>
      </c>
    </row>
    <row r="5">
      <c r="A5" s="25" t="s">
        <v>144</v>
      </c>
      <c r="B5" s="25" t="s">
        <v>5</v>
      </c>
      <c r="C5" s="25" t="s">
        <v>5</v>
      </c>
    </row>
    <row r="6">
      <c r="A6" s="26" t="s">
        <v>145</v>
      </c>
      <c r="B6" s="26" t="s">
        <v>5</v>
      </c>
      <c r="C6" s="26" t="s">
        <v>5</v>
      </c>
    </row>
    <row r="7">
      <c r="A7" s="25" t="s">
        <v>146</v>
      </c>
      <c r="B7" s="25" t="s">
        <v>5</v>
      </c>
      <c r="C7" s="25" t="s">
        <v>5</v>
      </c>
    </row>
    <row r="8">
      <c r="A8" s="26" t="s">
        <v>147</v>
      </c>
      <c r="B8" s="26" t="s">
        <v>5</v>
      </c>
      <c r="C8" s="26" t="s">
        <v>5</v>
      </c>
    </row>
    <row r="9">
      <c r="A9" s="25" t="s">
        <v>148</v>
      </c>
      <c r="B9" s="25" t="s">
        <v>5</v>
      </c>
      <c r="C9" s="25" t="s">
        <v>5</v>
      </c>
    </row>
    <row r="10">
      <c r="A10" s="26" t="s">
        <v>149</v>
      </c>
      <c r="B10" s="26" t="s">
        <v>5</v>
      </c>
      <c r="C10" s="26" t="s">
        <v>5</v>
      </c>
    </row>
    <row r="11">
      <c r="A11" s="25" t="s">
        <v>150</v>
      </c>
      <c r="B11" s="25" t="s">
        <v>5</v>
      </c>
      <c r="C11" s="25" t="s">
        <v>5</v>
      </c>
    </row>
    <row r="12">
      <c r="A12" s="26" t="s">
        <v>151</v>
      </c>
      <c r="B12" s="26" t="s">
        <v>5</v>
      </c>
      <c r="C12" s="26" t="s">
        <v>5</v>
      </c>
    </row>
    <row r="13">
      <c r="A13" s="25" t="s">
        <v>152</v>
      </c>
      <c r="B13" s="25" t="s">
        <v>5</v>
      </c>
      <c r="C13" s="25" t="s">
        <v>5</v>
      </c>
    </row>
    <row r="14">
      <c r="A14" s="26" t="s">
        <v>153</v>
      </c>
      <c r="B14" s="26" t="s">
        <v>5</v>
      </c>
      <c r="C14" s="26" t="s">
        <v>5</v>
      </c>
    </row>
    <row r="15">
      <c r="A15" s="25" t="s">
        <v>154</v>
      </c>
      <c r="B15" s="25" t="s">
        <v>5</v>
      </c>
      <c r="C15" s="25" t="s">
        <v>5</v>
      </c>
    </row>
    <row r="16">
      <c r="A16" s="26" t="s">
        <v>155</v>
      </c>
      <c r="B16" s="26" t="s">
        <v>5</v>
      </c>
      <c r="C16" s="26" t="s">
        <v>5</v>
      </c>
    </row>
    <row r="17">
      <c r="A17" s="25" t="s">
        <v>156</v>
      </c>
      <c r="B17" s="25" t="s">
        <v>5</v>
      </c>
      <c r="C17" s="25" t="s">
        <v>5</v>
      </c>
    </row>
    <row r="18">
      <c r="A18" s="26" t="s">
        <v>157</v>
      </c>
      <c r="B18" s="26" t="s">
        <v>5</v>
      </c>
      <c r="C18" s="26" t="s">
        <v>5</v>
      </c>
    </row>
    <row r="19">
      <c r="A19" s="25" t="s">
        <v>158</v>
      </c>
      <c r="B19" s="25" t="s">
        <v>5</v>
      </c>
      <c r="C19" s="25" t="s">
        <v>5</v>
      </c>
    </row>
    <row r="20">
      <c r="A20" s="26" t="s">
        <v>159</v>
      </c>
      <c r="B20" s="26" t="s">
        <v>5</v>
      </c>
      <c r="C20" s="26" t="s">
        <v>5</v>
      </c>
    </row>
    <row r="21">
      <c r="A21" s="25" t="s">
        <v>160</v>
      </c>
      <c r="B21" s="25" t="s">
        <v>5</v>
      </c>
      <c r="C21" s="25" t="s">
        <v>5</v>
      </c>
    </row>
    <row r="22">
      <c r="A22" s="26" t="s">
        <v>161</v>
      </c>
      <c r="B22" s="26" t="s">
        <v>5</v>
      </c>
      <c r="C22" s="26" t="s">
        <v>5</v>
      </c>
    </row>
    <row r="23">
      <c r="A23" s="25" t="s">
        <v>162</v>
      </c>
      <c r="B23" s="25" t="s">
        <v>5</v>
      </c>
      <c r="C23" s="25" t="s">
        <v>5</v>
      </c>
    </row>
    <row r="24">
      <c r="A24" s="26" t="s">
        <v>163</v>
      </c>
      <c r="B24" s="26" t="s">
        <v>5</v>
      </c>
      <c r="C24" s="26" t="s">
        <v>5</v>
      </c>
    </row>
    <row r="25">
      <c r="A25" s="25" t="s">
        <v>164</v>
      </c>
      <c r="B25" s="25" t="s">
        <v>5</v>
      </c>
      <c r="C25" s="25" t="s">
        <v>5</v>
      </c>
    </row>
    <row r="26">
      <c r="A26" s="26" t="s">
        <v>165</v>
      </c>
      <c r="B26" s="26" t="s">
        <v>5</v>
      </c>
      <c r="C26" s="26" t="s">
        <v>5</v>
      </c>
    </row>
    <row r="27">
      <c r="A27" s="25" t="s">
        <v>166</v>
      </c>
      <c r="B27" s="25" t="s">
        <v>5</v>
      </c>
      <c r="C27" s="25" t="s">
        <v>5</v>
      </c>
    </row>
    <row r="28">
      <c r="A28" s="26" t="s">
        <v>167</v>
      </c>
      <c r="B28" s="26" t="s">
        <v>5</v>
      </c>
      <c r="C28" s="26" t="s">
        <v>5</v>
      </c>
    </row>
    <row r="29">
      <c r="A29" s="25" t="s">
        <v>168</v>
      </c>
      <c r="B29" s="25" t="s">
        <v>5</v>
      </c>
      <c r="C29" s="25" t="s">
        <v>5</v>
      </c>
    </row>
    <row r="30">
      <c r="A30" s="26" t="s">
        <v>169</v>
      </c>
      <c r="B30" s="26" t="s">
        <v>5</v>
      </c>
      <c r="C30" s="26" t="s">
        <v>5</v>
      </c>
    </row>
    <row r="31">
      <c r="A31" s="25" t="s">
        <v>170</v>
      </c>
      <c r="B31" s="25" t="s">
        <v>5</v>
      </c>
      <c r="C31" s="25" t="s">
        <v>5</v>
      </c>
    </row>
    <row r="32">
      <c r="A32" s="26" t="s">
        <v>171</v>
      </c>
      <c r="B32" s="26" t="s">
        <v>5</v>
      </c>
      <c r="C32" s="26" t="s">
        <v>5</v>
      </c>
    </row>
    <row r="33">
      <c r="A33" s="25" t="s">
        <v>172</v>
      </c>
      <c r="B33" s="25" t="s">
        <v>5</v>
      </c>
      <c r="C33" s="25" t="s">
        <v>5</v>
      </c>
    </row>
    <row r="34">
      <c r="A34" s="26" t="s">
        <v>173</v>
      </c>
      <c r="B34" s="26" t="s">
        <v>5</v>
      </c>
      <c r="C34" s="26" t="s">
        <v>5</v>
      </c>
    </row>
    <row r="35">
      <c r="A35" s="25" t="s">
        <v>174</v>
      </c>
      <c r="B35" s="25" t="s">
        <v>5</v>
      </c>
      <c r="C35" s="25" t="s">
        <v>5</v>
      </c>
    </row>
    <row r="36">
      <c r="A36" s="26" t="s">
        <v>175</v>
      </c>
      <c r="B36" s="26" t="s">
        <v>5</v>
      </c>
      <c r="C36" s="26" t="s">
        <v>5</v>
      </c>
    </row>
    <row r="37">
      <c r="A37" s="25" t="s">
        <v>176</v>
      </c>
      <c r="B37" s="25" t="s">
        <v>5</v>
      </c>
      <c r="C37" s="25" t="s">
        <v>5</v>
      </c>
    </row>
    <row r="38">
      <c r="A38" s="26" t="s">
        <v>177</v>
      </c>
      <c r="B38" s="26" t="s">
        <v>5</v>
      </c>
      <c r="C38" s="26" t="s">
        <v>5</v>
      </c>
    </row>
    <row r="39">
      <c r="A39" s="25" t="s">
        <v>178</v>
      </c>
      <c r="B39" s="25" t="s">
        <v>5</v>
      </c>
      <c r="C39" s="25" t="s">
        <v>5</v>
      </c>
    </row>
    <row r="40">
      <c r="A40" s="26" t="s">
        <v>179</v>
      </c>
      <c r="B40" s="26" t="s">
        <v>5</v>
      </c>
      <c r="C40" s="26" t="s">
        <v>5</v>
      </c>
    </row>
    <row r="41">
      <c r="A41" s="25" t="s">
        <v>180</v>
      </c>
      <c r="B41" s="25" t="s">
        <v>5</v>
      </c>
      <c r="C41" s="25" t="s">
        <v>5</v>
      </c>
    </row>
    <row r="42">
      <c r="A42" s="26" t="s">
        <v>181</v>
      </c>
      <c r="B42" s="26" t="s">
        <v>5</v>
      </c>
      <c r="C42" s="26" t="s">
        <v>5</v>
      </c>
    </row>
    <row r="43">
      <c r="A43" s="25" t="s">
        <v>182</v>
      </c>
      <c r="B43" s="25" t="s">
        <v>5</v>
      </c>
      <c r="C43" s="25" t="s">
        <v>5</v>
      </c>
    </row>
    <row r="44">
      <c r="A44" s="26" t="s">
        <v>183</v>
      </c>
      <c r="B44" s="26" t="s">
        <v>5</v>
      </c>
      <c r="C44" s="26" t="s">
        <v>5</v>
      </c>
    </row>
    <row r="45">
      <c r="A45" s="25" t="s">
        <v>184</v>
      </c>
      <c r="B45" s="25" t="s">
        <v>5</v>
      </c>
      <c r="C45" s="25" t="s">
        <v>5</v>
      </c>
    </row>
    <row r="46">
      <c r="A46" s="26" t="s">
        <v>185</v>
      </c>
      <c r="B46" s="26" t="s">
        <v>5</v>
      </c>
      <c r="C46" s="26" t="s">
        <v>5</v>
      </c>
    </row>
    <row r="47">
      <c r="A47" s="25" t="s">
        <v>186</v>
      </c>
      <c r="B47" s="25" t="s">
        <v>5</v>
      </c>
      <c r="C47" s="25" t="s">
        <v>5</v>
      </c>
    </row>
    <row r="48">
      <c r="A48" s="26" t="s">
        <v>187</v>
      </c>
      <c r="B48" s="26" t="s">
        <v>5</v>
      </c>
      <c r="C48" s="26" t="s">
        <v>5</v>
      </c>
    </row>
    <row r="49">
      <c r="A49" s="25" t="s">
        <v>188</v>
      </c>
      <c r="B49" s="25" t="s">
        <v>5</v>
      </c>
      <c r="C49" s="25" t="s">
        <v>5</v>
      </c>
    </row>
    <row r="50">
      <c r="A50" s="26" t="s">
        <v>189</v>
      </c>
      <c r="B50" s="26" t="s">
        <v>5</v>
      </c>
      <c r="C50" s="26" t="s">
        <v>5</v>
      </c>
    </row>
  </sheetData>
  <mergeCells count="1">
    <mergeCell ref="A1:C1"/>
  </mergeCells>
  <dataValidations>
    <dataValidation type="list" allowBlank="1" sqref="C3:C50">
      <formula1>"Bouteille,Boîte,Casier,Kg,L,Paquet,Pièce,Sachet"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96F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27" t="s">
        <v>190</v>
      </c>
    </row>
    <row r="2">
      <c r="A2" s="28" t="s">
        <v>1</v>
      </c>
      <c r="B2" s="28" t="s">
        <v>2</v>
      </c>
      <c r="C2" s="28" t="s">
        <v>3</v>
      </c>
    </row>
    <row r="3">
      <c r="A3" s="29" t="s">
        <v>191</v>
      </c>
      <c r="B3" s="29" t="s">
        <v>5</v>
      </c>
      <c r="C3" s="29" t="s">
        <v>5</v>
      </c>
    </row>
    <row r="4">
      <c r="A4" s="30" t="s">
        <v>192</v>
      </c>
      <c r="B4" s="30" t="s">
        <v>5</v>
      </c>
      <c r="C4" s="30" t="s">
        <v>5</v>
      </c>
    </row>
    <row r="5">
      <c r="A5" s="29" t="s">
        <v>193</v>
      </c>
      <c r="B5" s="29" t="s">
        <v>5</v>
      </c>
      <c r="C5" s="29" t="s">
        <v>5</v>
      </c>
    </row>
    <row r="6">
      <c r="A6" s="30" t="s">
        <v>194</v>
      </c>
      <c r="B6" s="30" t="s">
        <v>5</v>
      </c>
      <c r="C6" s="30" t="s">
        <v>5</v>
      </c>
    </row>
    <row r="7">
      <c r="A7" s="29" t="s">
        <v>195</v>
      </c>
      <c r="B7" s="29" t="s">
        <v>5</v>
      </c>
      <c r="C7" s="29" t="s">
        <v>5</v>
      </c>
    </row>
    <row r="8">
      <c r="A8" s="30" t="s">
        <v>196</v>
      </c>
      <c r="B8" s="30" t="s">
        <v>5</v>
      </c>
      <c r="C8" s="30" t="s">
        <v>5</v>
      </c>
    </row>
    <row r="9">
      <c r="A9" s="29" t="s">
        <v>197</v>
      </c>
      <c r="B9" s="29" t="s">
        <v>5</v>
      </c>
      <c r="C9" s="29" t="s">
        <v>5</v>
      </c>
    </row>
    <row r="10">
      <c r="A10" s="30" t="s">
        <v>198</v>
      </c>
      <c r="B10" s="30" t="s">
        <v>5</v>
      </c>
      <c r="C10" s="30" t="s">
        <v>5</v>
      </c>
    </row>
    <row r="11">
      <c r="A11" s="29" t="s">
        <v>199</v>
      </c>
      <c r="B11" s="29" t="s">
        <v>5</v>
      </c>
      <c r="C11" s="29" t="s">
        <v>5</v>
      </c>
    </row>
    <row r="12">
      <c r="A12" s="30" t="s">
        <v>200</v>
      </c>
      <c r="B12" s="30" t="s">
        <v>5</v>
      </c>
      <c r="C12" s="30" t="s">
        <v>5</v>
      </c>
    </row>
    <row r="13">
      <c r="A13" s="29" t="s">
        <v>201</v>
      </c>
      <c r="B13" s="29" t="s">
        <v>5</v>
      </c>
      <c r="C13" s="29" t="s">
        <v>5</v>
      </c>
    </row>
  </sheetData>
  <mergeCells count="1">
    <mergeCell ref="A1:C1"/>
  </mergeCells>
  <dataValidations>
    <dataValidation type="list" allowBlank="1" sqref="C3:C13">
      <formula1>"Bouteille,Boîte,Casier,Kg,L,Paquet,Pièce,Sachet"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433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31" t="s">
        <v>202</v>
      </c>
    </row>
    <row r="2">
      <c r="A2" s="32" t="s">
        <v>1</v>
      </c>
      <c r="B2" s="32" t="s">
        <v>2</v>
      </c>
      <c r="C2" s="32" t="s">
        <v>3</v>
      </c>
    </row>
    <row r="3">
      <c r="A3" s="33" t="s">
        <v>203</v>
      </c>
      <c r="B3" s="33" t="s">
        <v>5</v>
      </c>
      <c r="C3" s="33" t="s">
        <v>5</v>
      </c>
    </row>
    <row r="4">
      <c r="A4" s="34" t="s">
        <v>204</v>
      </c>
      <c r="B4" s="34" t="s">
        <v>5</v>
      </c>
      <c r="C4" s="34" t="s">
        <v>5</v>
      </c>
    </row>
    <row r="5">
      <c r="A5" s="33" t="s">
        <v>205</v>
      </c>
      <c r="B5" s="33" t="s">
        <v>5</v>
      </c>
      <c r="C5" s="33" t="s">
        <v>5</v>
      </c>
    </row>
    <row r="6">
      <c r="A6" s="34" t="s">
        <v>206</v>
      </c>
      <c r="B6" s="34" t="s">
        <v>5</v>
      </c>
      <c r="C6" s="34" t="s">
        <v>5</v>
      </c>
    </row>
    <row r="7">
      <c r="A7" s="33" t="s">
        <v>207</v>
      </c>
      <c r="B7" s="33" t="s">
        <v>5</v>
      </c>
      <c r="C7" s="33" t="s">
        <v>5</v>
      </c>
    </row>
  </sheetData>
  <mergeCells count="1">
    <mergeCell ref="A1:C1"/>
  </mergeCells>
  <dataValidations>
    <dataValidation type="list" allowBlank="1" sqref="C3:C7">
      <formula1>"Bouteille,Boîte,Casier,Kg,L,Paquet,Pièce,Sachet"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23" t="s">
        <v>141</v>
      </c>
    </row>
    <row r="2">
      <c r="A2" s="24" t="s">
        <v>1</v>
      </c>
      <c r="B2" s="24" t="s">
        <v>2</v>
      </c>
      <c r="C2" s="24" t="s">
        <v>3</v>
      </c>
    </row>
    <row r="3">
      <c r="A3" s="25" t="s">
        <v>142</v>
      </c>
      <c r="B3" s="25" t="s">
        <v>5</v>
      </c>
      <c r="C3" s="25" t="s">
        <v>5</v>
      </c>
    </row>
    <row r="4">
      <c r="A4" s="26" t="s">
        <v>143</v>
      </c>
      <c r="B4" s="26" t="s">
        <v>5</v>
      </c>
      <c r="C4" s="26" t="s">
        <v>5</v>
      </c>
    </row>
    <row r="5">
      <c r="A5" s="25" t="s">
        <v>144</v>
      </c>
      <c r="B5" s="25" t="s">
        <v>5</v>
      </c>
      <c r="C5" s="25" t="s">
        <v>5</v>
      </c>
    </row>
    <row r="6">
      <c r="A6" s="26" t="s">
        <v>145</v>
      </c>
      <c r="B6" s="26" t="s">
        <v>5</v>
      </c>
      <c r="C6" s="26" t="s">
        <v>5</v>
      </c>
    </row>
    <row r="7">
      <c r="A7" s="25" t="s">
        <v>146</v>
      </c>
      <c r="B7" s="25" t="s">
        <v>5</v>
      </c>
      <c r="C7" s="25" t="s">
        <v>5</v>
      </c>
    </row>
    <row r="8">
      <c r="A8" s="26" t="s">
        <v>147</v>
      </c>
      <c r="B8" s="26" t="s">
        <v>5</v>
      </c>
      <c r="C8" s="26" t="s">
        <v>5</v>
      </c>
    </row>
    <row r="9">
      <c r="A9" s="25" t="s">
        <v>148</v>
      </c>
      <c r="B9" s="25" t="s">
        <v>5</v>
      </c>
      <c r="C9" s="25" t="s">
        <v>5</v>
      </c>
    </row>
    <row r="10">
      <c r="A10" s="26" t="s">
        <v>149</v>
      </c>
      <c r="B10" s="26" t="s">
        <v>5</v>
      </c>
      <c r="C10" s="26" t="s">
        <v>5</v>
      </c>
    </row>
    <row r="11">
      <c r="A11" s="25" t="s">
        <v>150</v>
      </c>
      <c r="B11" s="25" t="s">
        <v>5</v>
      </c>
      <c r="C11" s="25" t="s">
        <v>5</v>
      </c>
    </row>
    <row r="12">
      <c r="A12" s="26" t="s">
        <v>151</v>
      </c>
      <c r="B12" s="26" t="s">
        <v>5</v>
      </c>
      <c r="C12" s="26" t="s">
        <v>5</v>
      </c>
    </row>
    <row r="13">
      <c r="A13" s="25" t="s">
        <v>152</v>
      </c>
      <c r="B13" s="25" t="s">
        <v>5</v>
      </c>
      <c r="C13" s="25" t="s">
        <v>5</v>
      </c>
    </row>
    <row r="14">
      <c r="A14" s="26" t="s">
        <v>153</v>
      </c>
      <c r="B14" s="26" t="s">
        <v>5</v>
      </c>
      <c r="C14" s="26" t="s">
        <v>5</v>
      </c>
    </row>
    <row r="15">
      <c r="A15" s="25" t="s">
        <v>154</v>
      </c>
      <c r="B15" s="25" t="s">
        <v>5</v>
      </c>
      <c r="C15" s="25" t="s">
        <v>5</v>
      </c>
    </row>
    <row r="16">
      <c r="A16" s="26" t="s">
        <v>155</v>
      </c>
      <c r="B16" s="26" t="s">
        <v>5</v>
      </c>
      <c r="C16" s="26" t="s">
        <v>5</v>
      </c>
    </row>
    <row r="17">
      <c r="A17" s="25" t="s">
        <v>156</v>
      </c>
      <c r="B17" s="25" t="s">
        <v>5</v>
      </c>
      <c r="C17" s="25" t="s">
        <v>5</v>
      </c>
    </row>
    <row r="18">
      <c r="A18" s="26" t="s">
        <v>157</v>
      </c>
      <c r="B18" s="26" t="s">
        <v>5</v>
      </c>
      <c r="C18" s="26" t="s">
        <v>5</v>
      </c>
    </row>
    <row r="19">
      <c r="A19" s="25" t="s">
        <v>158</v>
      </c>
      <c r="B19" s="25" t="s">
        <v>5</v>
      </c>
      <c r="C19" s="25" t="s">
        <v>5</v>
      </c>
    </row>
    <row r="20">
      <c r="A20" s="26" t="s">
        <v>159</v>
      </c>
      <c r="B20" s="26" t="s">
        <v>5</v>
      </c>
      <c r="C20" s="26" t="s">
        <v>5</v>
      </c>
    </row>
    <row r="21">
      <c r="A21" s="25" t="s">
        <v>160</v>
      </c>
      <c r="B21" s="25" t="s">
        <v>5</v>
      </c>
      <c r="C21" s="25" t="s">
        <v>5</v>
      </c>
    </row>
    <row r="22">
      <c r="A22" s="26" t="s">
        <v>161</v>
      </c>
      <c r="B22" s="26" t="s">
        <v>5</v>
      </c>
      <c r="C22" s="26" t="s">
        <v>5</v>
      </c>
    </row>
    <row r="23">
      <c r="A23" s="25" t="s">
        <v>162</v>
      </c>
      <c r="B23" s="25" t="s">
        <v>5</v>
      </c>
      <c r="C23" s="25" t="s">
        <v>5</v>
      </c>
    </row>
    <row r="24">
      <c r="A24" s="26" t="s">
        <v>163</v>
      </c>
      <c r="B24" s="26" t="s">
        <v>5</v>
      </c>
      <c r="C24" s="26" t="s">
        <v>5</v>
      </c>
    </row>
    <row r="25">
      <c r="A25" s="25" t="s">
        <v>164</v>
      </c>
      <c r="B25" s="25" t="s">
        <v>5</v>
      </c>
      <c r="C25" s="25" t="s">
        <v>5</v>
      </c>
    </row>
    <row r="26">
      <c r="A26" s="26" t="s">
        <v>165</v>
      </c>
      <c r="B26" s="26" t="s">
        <v>5</v>
      </c>
      <c r="C26" s="26" t="s">
        <v>5</v>
      </c>
    </row>
    <row r="27">
      <c r="A27" s="25" t="s">
        <v>166</v>
      </c>
      <c r="B27" s="25" t="s">
        <v>5</v>
      </c>
      <c r="C27" s="25" t="s">
        <v>5</v>
      </c>
    </row>
    <row r="28">
      <c r="A28" s="26" t="s">
        <v>167</v>
      </c>
      <c r="B28" s="26" t="s">
        <v>5</v>
      </c>
      <c r="C28" s="26" t="s">
        <v>5</v>
      </c>
    </row>
    <row r="29">
      <c r="A29" s="25" t="s">
        <v>168</v>
      </c>
      <c r="B29" s="25" t="s">
        <v>5</v>
      </c>
      <c r="C29" s="25" t="s">
        <v>5</v>
      </c>
    </row>
    <row r="30">
      <c r="A30" s="26" t="s">
        <v>169</v>
      </c>
      <c r="B30" s="26" t="s">
        <v>5</v>
      </c>
      <c r="C30" s="26" t="s">
        <v>5</v>
      </c>
    </row>
    <row r="31">
      <c r="A31" s="25" t="s">
        <v>170</v>
      </c>
      <c r="B31" s="25" t="s">
        <v>5</v>
      </c>
      <c r="C31" s="25" t="s">
        <v>5</v>
      </c>
    </row>
    <row r="32">
      <c r="A32" s="26" t="s">
        <v>171</v>
      </c>
      <c r="B32" s="26" t="s">
        <v>5</v>
      </c>
      <c r="C32" s="26" t="s">
        <v>5</v>
      </c>
    </row>
    <row r="33">
      <c r="A33" s="25" t="s">
        <v>172</v>
      </c>
      <c r="B33" s="25" t="s">
        <v>5</v>
      </c>
      <c r="C33" s="25" t="s">
        <v>5</v>
      </c>
    </row>
    <row r="34">
      <c r="A34" s="26" t="s">
        <v>173</v>
      </c>
      <c r="B34" s="26" t="s">
        <v>5</v>
      </c>
      <c r="C34" s="26" t="s">
        <v>5</v>
      </c>
    </row>
    <row r="35">
      <c r="A35" s="25" t="s">
        <v>174</v>
      </c>
      <c r="B35" s="25" t="s">
        <v>5</v>
      </c>
      <c r="C35" s="25" t="s">
        <v>5</v>
      </c>
    </row>
    <row r="36">
      <c r="A36" s="26" t="s">
        <v>175</v>
      </c>
      <c r="B36" s="26" t="s">
        <v>5</v>
      </c>
      <c r="C36" s="26" t="s">
        <v>5</v>
      </c>
    </row>
    <row r="37">
      <c r="A37" s="25" t="s">
        <v>176</v>
      </c>
      <c r="B37" s="25" t="s">
        <v>5</v>
      </c>
      <c r="C37" s="25" t="s">
        <v>5</v>
      </c>
    </row>
    <row r="38">
      <c r="A38" s="26" t="s">
        <v>177</v>
      </c>
      <c r="B38" s="26" t="s">
        <v>5</v>
      </c>
      <c r="C38" s="26" t="s">
        <v>5</v>
      </c>
    </row>
    <row r="39">
      <c r="A39" s="25" t="s">
        <v>178</v>
      </c>
      <c r="B39" s="25" t="s">
        <v>5</v>
      </c>
      <c r="C39" s="25" t="s">
        <v>5</v>
      </c>
    </row>
    <row r="40">
      <c r="A40" s="26" t="s">
        <v>179</v>
      </c>
      <c r="B40" s="26" t="s">
        <v>5</v>
      </c>
      <c r="C40" s="26" t="s">
        <v>5</v>
      </c>
    </row>
    <row r="41">
      <c r="A41" s="25" t="s">
        <v>180</v>
      </c>
      <c r="B41" s="25" t="s">
        <v>5</v>
      </c>
      <c r="C41" s="25" t="s">
        <v>5</v>
      </c>
    </row>
    <row r="42">
      <c r="A42" s="26" t="s">
        <v>181</v>
      </c>
      <c r="B42" s="26" t="s">
        <v>5</v>
      </c>
      <c r="C42" s="26" t="s">
        <v>5</v>
      </c>
    </row>
    <row r="43">
      <c r="A43" s="25" t="s">
        <v>182</v>
      </c>
      <c r="B43" s="25" t="s">
        <v>5</v>
      </c>
      <c r="C43" s="25" t="s">
        <v>5</v>
      </c>
    </row>
    <row r="44">
      <c r="A44" s="26" t="s">
        <v>183</v>
      </c>
      <c r="B44" s="26" t="s">
        <v>5</v>
      </c>
      <c r="C44" s="26" t="s">
        <v>5</v>
      </c>
    </row>
    <row r="45">
      <c r="A45" s="25" t="s">
        <v>184</v>
      </c>
      <c r="B45" s="25" t="s">
        <v>5</v>
      </c>
      <c r="C45" s="25" t="s">
        <v>5</v>
      </c>
    </row>
    <row r="46">
      <c r="A46" s="26" t="s">
        <v>185</v>
      </c>
      <c r="B46" s="26" t="s">
        <v>5</v>
      </c>
      <c r="C46" s="26" t="s">
        <v>5</v>
      </c>
    </row>
    <row r="47">
      <c r="A47" s="25" t="s">
        <v>186</v>
      </c>
      <c r="B47" s="25" t="s">
        <v>5</v>
      </c>
      <c r="C47" s="25" t="s">
        <v>5</v>
      </c>
    </row>
    <row r="48">
      <c r="A48" s="26" t="s">
        <v>187</v>
      </c>
      <c r="B48" s="26" t="s">
        <v>5</v>
      </c>
      <c r="C48" s="26" t="s">
        <v>5</v>
      </c>
    </row>
    <row r="49">
      <c r="A49" s="25" t="s">
        <v>188</v>
      </c>
      <c r="B49" s="25" t="s">
        <v>5</v>
      </c>
      <c r="C49" s="25" t="s">
        <v>5</v>
      </c>
    </row>
    <row r="50">
      <c r="A50" s="26" t="s">
        <v>189</v>
      </c>
      <c r="B50" s="26" t="s">
        <v>5</v>
      </c>
      <c r="C50" s="26" t="s">
        <v>5</v>
      </c>
    </row>
  </sheetData>
  <mergeCells count="1">
    <mergeCell ref="A1:C1"/>
  </mergeCells>
  <dataValidations>
    <dataValidation type="list" allowBlank="1" sqref="C3:C50">
      <formula1>"Bouteille,Boîte,Casier,Kg,L,Paquet,Pièce,Sachet"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E44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1.38"/>
    <col customWidth="1" min="2" max="2" width="12.63"/>
    <col customWidth="1" min="3" max="3" width="13.63"/>
    <col customWidth="1" min="4" max="4" width="12.63"/>
    <col customWidth="1" min="5" max="6" width="13.88"/>
    <col customWidth="1" min="7" max="7" width="16.38"/>
    <col customWidth="1" min="8" max="8" width="12.63"/>
    <col customWidth="1" min="9" max="9" width="16.38"/>
    <col customWidth="1" min="10" max="10" width="12.63"/>
    <col customWidth="1" min="11" max="11" width="16.38"/>
    <col customWidth="1" min="12" max="13" width="13.88"/>
    <col customWidth="1" min="14" max="14" width="16.38"/>
    <col customWidth="1" min="15" max="15" width="13.88"/>
    <col customWidth="1" min="16" max="16" width="16.38"/>
    <col customWidth="1" min="17" max="18" width="15.13"/>
    <col customWidth="1" min="19" max="19" width="18.88"/>
  </cols>
  <sheetData>
    <row r="1">
      <c r="A1" s="35" t="s">
        <v>208</v>
      </c>
    </row>
    <row r="2">
      <c r="A2" s="36" t="s">
        <v>209</v>
      </c>
    </row>
    <row r="4">
      <c r="A4" s="37" t="s">
        <v>210</v>
      </c>
      <c r="B4" s="38" t="s">
        <v>211</v>
      </c>
      <c r="F4" s="39" t="s">
        <v>212</v>
      </c>
      <c r="M4" s="40" t="s">
        <v>213</v>
      </c>
      <c r="R4" s="41" t="s">
        <v>214</v>
      </c>
      <c r="S4" s="42" t="s">
        <v>215</v>
      </c>
    </row>
    <row r="5" ht="37.5" customHeight="1">
      <c r="A5" s="43" t="s">
        <v>216</v>
      </c>
      <c r="B5" s="44" t="s">
        <v>217</v>
      </c>
      <c r="C5" s="44" t="s">
        <v>218</v>
      </c>
      <c r="D5" s="44" t="s">
        <v>219</v>
      </c>
      <c r="E5" s="43" t="s">
        <v>220</v>
      </c>
      <c r="F5" s="45" t="s">
        <v>221</v>
      </c>
      <c r="G5" s="45" t="s">
        <v>222</v>
      </c>
      <c r="H5" s="45" t="s">
        <v>223</v>
      </c>
      <c r="I5" s="45" t="s">
        <v>222</v>
      </c>
      <c r="J5" s="45" t="s">
        <v>224</v>
      </c>
      <c r="K5" s="45" t="s">
        <v>222</v>
      </c>
      <c r="L5" s="46" t="s">
        <v>225</v>
      </c>
      <c r="M5" s="47" t="s">
        <v>226</v>
      </c>
      <c r="N5" s="47" t="s">
        <v>222</v>
      </c>
      <c r="O5" s="47" t="s">
        <v>227</v>
      </c>
      <c r="P5" s="47" t="s">
        <v>222</v>
      </c>
      <c r="Q5" s="48" t="s">
        <v>228</v>
      </c>
      <c r="R5" s="49" t="s">
        <v>229</v>
      </c>
      <c r="S5" s="50" t="s">
        <v>230</v>
      </c>
    </row>
    <row r="6">
      <c r="A6" s="51">
        <v>46114.0</v>
      </c>
      <c r="B6" s="52">
        <v>4580.0</v>
      </c>
      <c r="C6" s="52">
        <v>4060.0</v>
      </c>
      <c r="D6" s="53"/>
      <c r="E6" s="54">
        <f t="shared" ref="E6:E36" si="1">SUM(B6:D6)</f>
        <v>8640</v>
      </c>
      <c r="F6" s="55">
        <v>2040.88</v>
      </c>
      <c r="G6" s="56"/>
      <c r="H6" s="56"/>
      <c r="I6" s="57"/>
      <c r="J6" s="56"/>
      <c r="K6" s="55"/>
      <c r="L6" s="58">
        <f t="shared" ref="L6:L36" si="2">F6+H6+J6</f>
        <v>2040.88</v>
      </c>
      <c r="M6" s="59"/>
      <c r="N6" s="60"/>
      <c r="O6" s="61">
        <v>2000.0</v>
      </c>
      <c r="P6" s="60"/>
      <c r="Q6" s="62">
        <f t="shared" ref="Q6:Q36" si="3">M6+O6</f>
        <v>2000</v>
      </c>
      <c r="R6" s="63">
        <f t="shared" ref="R6:R36" si="4">E6-(L6+Q6)</f>
        <v>4599.12</v>
      </c>
      <c r="S6" s="64"/>
    </row>
    <row r="7">
      <c r="A7" s="65">
        <v>46115.0</v>
      </c>
      <c r="B7" s="66">
        <v>6655.0</v>
      </c>
      <c r="C7" s="66">
        <v>3710.0</v>
      </c>
      <c r="D7" s="66">
        <v>3455.0</v>
      </c>
      <c r="E7" s="67">
        <f t="shared" si="1"/>
        <v>13820</v>
      </c>
      <c r="F7" s="68">
        <v>2945.0</v>
      </c>
      <c r="G7" s="69"/>
      <c r="H7" s="69"/>
      <c r="I7" s="58"/>
      <c r="J7" s="69"/>
      <c r="K7" s="68"/>
      <c r="L7" s="58">
        <f t="shared" si="2"/>
        <v>2945</v>
      </c>
      <c r="M7" s="62"/>
      <c r="N7" s="70"/>
      <c r="O7" s="71">
        <v>2000.0</v>
      </c>
      <c r="P7" s="70"/>
      <c r="Q7" s="62">
        <f t="shared" si="3"/>
        <v>2000</v>
      </c>
      <c r="R7" s="63">
        <f t="shared" si="4"/>
        <v>8875</v>
      </c>
      <c r="S7" s="72"/>
    </row>
    <row r="8">
      <c r="A8" s="51">
        <v>46116.0</v>
      </c>
      <c r="B8" s="52">
        <v>3310.0</v>
      </c>
      <c r="C8" s="52">
        <v>2565.0</v>
      </c>
      <c r="D8" s="53"/>
      <c r="E8" s="54">
        <f t="shared" si="1"/>
        <v>5875</v>
      </c>
      <c r="F8" s="55">
        <v>4195.63</v>
      </c>
      <c r="G8" s="56"/>
      <c r="H8" s="56"/>
      <c r="I8" s="57"/>
      <c r="J8" s="55"/>
      <c r="K8" s="55"/>
      <c r="L8" s="58">
        <f t="shared" si="2"/>
        <v>4195.63</v>
      </c>
      <c r="M8" s="73">
        <v>2600.0</v>
      </c>
      <c r="N8" s="60"/>
      <c r="O8" s="61">
        <v>400.0</v>
      </c>
      <c r="P8" s="60"/>
      <c r="Q8" s="62">
        <f t="shared" si="3"/>
        <v>3000</v>
      </c>
      <c r="R8" s="63">
        <f t="shared" si="4"/>
        <v>-1320.63</v>
      </c>
      <c r="S8" s="64"/>
    </row>
    <row r="9">
      <c r="A9" s="65">
        <v>46117.0</v>
      </c>
      <c r="B9" s="66">
        <v>4305.0</v>
      </c>
      <c r="C9" s="66">
        <v>1300.0</v>
      </c>
      <c r="D9" s="74"/>
      <c r="E9" s="67">
        <f t="shared" si="1"/>
        <v>5605</v>
      </c>
      <c r="F9" s="68">
        <v>1175.5</v>
      </c>
      <c r="G9" s="69"/>
      <c r="H9" s="69"/>
      <c r="I9" s="58"/>
      <c r="J9" s="69"/>
      <c r="K9" s="69"/>
      <c r="L9" s="58">
        <f t="shared" si="2"/>
        <v>1175.5</v>
      </c>
      <c r="M9" s="62"/>
      <c r="N9" s="70"/>
      <c r="O9" s="70"/>
      <c r="P9" s="70"/>
      <c r="Q9" s="62">
        <f t="shared" si="3"/>
        <v>0</v>
      </c>
      <c r="R9" s="63">
        <f t="shared" si="4"/>
        <v>4429.5</v>
      </c>
      <c r="S9" s="72"/>
    </row>
    <row r="10">
      <c r="A10" s="51">
        <v>46118.0</v>
      </c>
      <c r="B10" s="52">
        <v>6876.5</v>
      </c>
      <c r="C10" s="52">
        <v>3608.0</v>
      </c>
      <c r="D10" s="52">
        <v>600.0</v>
      </c>
      <c r="E10" s="54">
        <f t="shared" si="1"/>
        <v>11084.5</v>
      </c>
      <c r="F10" s="55">
        <v>3523.25</v>
      </c>
      <c r="G10" s="56"/>
      <c r="H10" s="56"/>
      <c r="I10" s="57"/>
      <c r="J10" s="55">
        <v>778.7</v>
      </c>
      <c r="K10" s="55" t="s">
        <v>231</v>
      </c>
      <c r="L10" s="58">
        <f t="shared" si="2"/>
        <v>4301.95</v>
      </c>
      <c r="M10" s="73">
        <v>5500.0</v>
      </c>
      <c r="N10" s="61" t="s">
        <v>232</v>
      </c>
      <c r="O10" s="61">
        <v>500.0</v>
      </c>
      <c r="P10" s="60"/>
      <c r="Q10" s="62">
        <f t="shared" si="3"/>
        <v>6000</v>
      </c>
      <c r="R10" s="63">
        <f t="shared" si="4"/>
        <v>782.55</v>
      </c>
      <c r="S10" s="64"/>
    </row>
    <row r="11">
      <c r="A11" s="65">
        <v>46119.0</v>
      </c>
      <c r="B11" s="66">
        <v>4140.0</v>
      </c>
      <c r="C11" s="66">
        <v>1920.0</v>
      </c>
      <c r="D11" s="66">
        <v>210.0</v>
      </c>
      <c r="E11" s="67">
        <f t="shared" si="1"/>
        <v>6270</v>
      </c>
      <c r="F11" s="68">
        <v>2604.74</v>
      </c>
      <c r="G11" s="69"/>
      <c r="H11" s="69"/>
      <c r="I11" s="58"/>
      <c r="J11" s="69"/>
      <c r="K11" s="69"/>
      <c r="L11" s="58">
        <f t="shared" si="2"/>
        <v>2604.74</v>
      </c>
      <c r="M11" s="62"/>
      <c r="N11" s="70"/>
      <c r="O11" s="70"/>
      <c r="P11" s="70"/>
      <c r="Q11" s="62">
        <f t="shared" si="3"/>
        <v>0</v>
      </c>
      <c r="R11" s="63">
        <f t="shared" si="4"/>
        <v>3665.26</v>
      </c>
      <c r="S11" s="72"/>
    </row>
    <row r="12">
      <c r="A12" s="51">
        <v>46120.0</v>
      </c>
      <c r="B12" s="52">
        <v>4335.0</v>
      </c>
      <c r="C12" s="52">
        <v>4335.0</v>
      </c>
      <c r="D12" s="53"/>
      <c r="E12" s="54">
        <f t="shared" si="1"/>
        <v>8670</v>
      </c>
      <c r="F12" s="55">
        <v>1234.0</v>
      </c>
      <c r="G12" s="56"/>
      <c r="H12" s="55">
        <v>1342.0</v>
      </c>
      <c r="I12" s="75" t="s">
        <v>233</v>
      </c>
      <c r="J12" s="56"/>
      <c r="K12" s="56"/>
      <c r="L12" s="58">
        <f t="shared" si="2"/>
        <v>2576</v>
      </c>
      <c r="M12" s="59"/>
      <c r="N12" s="60"/>
      <c r="O12" s="60"/>
      <c r="P12" s="60"/>
      <c r="Q12" s="62">
        <f t="shared" si="3"/>
        <v>0</v>
      </c>
      <c r="R12" s="63">
        <f t="shared" si="4"/>
        <v>6094</v>
      </c>
      <c r="S12" s="64"/>
    </row>
    <row r="13">
      <c r="A13" s="65">
        <v>46121.0</v>
      </c>
      <c r="B13" s="66">
        <v>5540.0</v>
      </c>
      <c r="C13" s="66">
        <v>2006.5</v>
      </c>
      <c r="D13" s="74"/>
      <c r="E13" s="67">
        <f t="shared" si="1"/>
        <v>7546.5</v>
      </c>
      <c r="F13" s="68">
        <v>4727.05</v>
      </c>
      <c r="G13" s="69"/>
      <c r="H13" s="69"/>
      <c r="I13" s="58"/>
      <c r="J13" s="69"/>
      <c r="K13" s="69"/>
      <c r="L13" s="58">
        <f t="shared" si="2"/>
        <v>4727.05</v>
      </c>
      <c r="M13" s="76">
        <v>3500.0</v>
      </c>
      <c r="N13" s="71" t="s">
        <v>234</v>
      </c>
      <c r="O13" s="71">
        <v>1500.0</v>
      </c>
      <c r="P13" s="70"/>
      <c r="Q13" s="62">
        <f t="shared" si="3"/>
        <v>5000</v>
      </c>
      <c r="R13" s="63">
        <f t="shared" si="4"/>
        <v>-2180.55</v>
      </c>
      <c r="S13" s="72"/>
    </row>
    <row r="14">
      <c r="A14" s="51">
        <v>46122.0</v>
      </c>
      <c r="B14" s="52">
        <v>4830.0</v>
      </c>
      <c r="C14" s="52">
        <v>3043.0</v>
      </c>
      <c r="D14" s="53"/>
      <c r="E14" s="54">
        <f t="shared" si="1"/>
        <v>7873</v>
      </c>
      <c r="F14" s="55">
        <v>1106.0</v>
      </c>
      <c r="G14" s="56"/>
      <c r="H14" s="56"/>
      <c r="I14" s="57"/>
      <c r="J14" s="56"/>
      <c r="K14" s="56"/>
      <c r="L14" s="58">
        <f t="shared" si="2"/>
        <v>1106</v>
      </c>
      <c r="M14" s="59"/>
      <c r="N14" s="60"/>
      <c r="O14" s="60"/>
      <c r="P14" s="60"/>
      <c r="Q14" s="62">
        <f t="shared" si="3"/>
        <v>0</v>
      </c>
      <c r="R14" s="63">
        <f t="shared" si="4"/>
        <v>6767</v>
      </c>
      <c r="S14" s="64"/>
    </row>
    <row r="15">
      <c r="A15" s="65">
        <v>46123.0</v>
      </c>
      <c r="B15" s="66">
        <v>3014.0</v>
      </c>
      <c r="C15" s="66">
        <v>1726.0</v>
      </c>
      <c r="D15" s="74"/>
      <c r="E15" s="67">
        <f t="shared" si="1"/>
        <v>4740</v>
      </c>
      <c r="F15" s="68">
        <v>1938.0</v>
      </c>
      <c r="G15" s="69"/>
      <c r="H15" s="69"/>
      <c r="I15" s="58"/>
      <c r="J15" s="69"/>
      <c r="K15" s="69"/>
      <c r="L15" s="58">
        <f t="shared" si="2"/>
        <v>1938</v>
      </c>
      <c r="M15" s="62"/>
      <c r="N15" s="70"/>
      <c r="O15" s="70"/>
      <c r="P15" s="70"/>
      <c r="Q15" s="62">
        <f t="shared" si="3"/>
        <v>0</v>
      </c>
      <c r="R15" s="63">
        <f t="shared" si="4"/>
        <v>2802</v>
      </c>
      <c r="S15" s="72"/>
    </row>
    <row r="16">
      <c r="A16" s="51">
        <v>46124.0</v>
      </c>
      <c r="B16" s="52">
        <v>5750.0</v>
      </c>
      <c r="C16" s="52">
        <v>2426.0</v>
      </c>
      <c r="D16" s="53"/>
      <c r="E16" s="54">
        <f t="shared" si="1"/>
        <v>8176</v>
      </c>
      <c r="F16" s="55">
        <v>611.3</v>
      </c>
      <c r="G16" s="56"/>
      <c r="H16" s="56"/>
      <c r="I16" s="57"/>
      <c r="J16" s="55"/>
      <c r="K16" s="55" t="s">
        <v>235</v>
      </c>
      <c r="L16" s="58">
        <f t="shared" si="2"/>
        <v>611.3</v>
      </c>
      <c r="M16" s="73">
        <v>1500.0</v>
      </c>
      <c r="N16" s="61" t="s">
        <v>236</v>
      </c>
      <c r="O16" s="61">
        <v>2500.0</v>
      </c>
      <c r="P16" s="60"/>
      <c r="Q16" s="62">
        <f t="shared" si="3"/>
        <v>4000</v>
      </c>
      <c r="R16" s="63">
        <f t="shared" si="4"/>
        <v>3564.7</v>
      </c>
      <c r="S16" s="64"/>
    </row>
    <row r="17">
      <c r="A17" s="65">
        <v>46125.0</v>
      </c>
      <c r="B17" s="66">
        <v>4520.0</v>
      </c>
      <c r="C17" s="66">
        <v>1415.0</v>
      </c>
      <c r="D17" s="74"/>
      <c r="E17" s="67">
        <f t="shared" si="1"/>
        <v>5935</v>
      </c>
      <c r="F17" s="68">
        <v>2591.07</v>
      </c>
      <c r="G17" s="69"/>
      <c r="H17" s="69"/>
      <c r="I17" s="58"/>
      <c r="J17" s="68"/>
      <c r="K17" s="68"/>
      <c r="L17" s="58">
        <f t="shared" si="2"/>
        <v>2591.07</v>
      </c>
      <c r="M17" s="62"/>
      <c r="N17" s="70"/>
      <c r="O17" s="70"/>
      <c r="P17" s="70"/>
      <c r="Q17" s="62">
        <f t="shared" si="3"/>
        <v>0</v>
      </c>
      <c r="R17" s="63">
        <f t="shared" si="4"/>
        <v>3343.93</v>
      </c>
      <c r="S17" s="72"/>
    </row>
    <row r="18">
      <c r="A18" s="51">
        <v>46126.0</v>
      </c>
      <c r="B18" s="52">
        <v>2690.0</v>
      </c>
      <c r="C18" s="52">
        <v>1570.0</v>
      </c>
      <c r="D18" s="53"/>
      <c r="E18" s="54">
        <f t="shared" si="1"/>
        <v>4260</v>
      </c>
      <c r="F18" s="55">
        <v>1924.2</v>
      </c>
      <c r="G18" s="56"/>
      <c r="H18" s="56"/>
      <c r="I18" s="57"/>
      <c r="J18" s="56"/>
      <c r="K18" s="56"/>
      <c r="L18" s="58">
        <f t="shared" si="2"/>
        <v>1924.2</v>
      </c>
      <c r="M18" s="59"/>
      <c r="N18" s="60"/>
      <c r="O18" s="60"/>
      <c r="P18" s="60"/>
      <c r="Q18" s="62">
        <f t="shared" si="3"/>
        <v>0</v>
      </c>
      <c r="R18" s="63">
        <f t="shared" si="4"/>
        <v>2335.8</v>
      </c>
      <c r="S18" s="64"/>
    </row>
    <row r="19">
      <c r="A19" s="65">
        <v>46127.0</v>
      </c>
      <c r="B19" s="66">
        <v>4290.0</v>
      </c>
      <c r="C19" s="66">
        <v>3745.0</v>
      </c>
      <c r="D19" s="74"/>
      <c r="E19" s="67">
        <f t="shared" si="1"/>
        <v>8035</v>
      </c>
      <c r="F19" s="68">
        <v>2237.02</v>
      </c>
      <c r="G19" s="69"/>
      <c r="H19" s="69"/>
      <c r="I19" s="58"/>
      <c r="J19" s="69"/>
      <c r="K19" s="69"/>
      <c r="L19" s="58">
        <f t="shared" si="2"/>
        <v>2237.02</v>
      </c>
      <c r="M19" s="62"/>
      <c r="N19" s="70"/>
      <c r="O19" s="70"/>
      <c r="P19" s="70"/>
      <c r="Q19" s="62">
        <f t="shared" si="3"/>
        <v>0</v>
      </c>
      <c r="R19" s="63">
        <f t="shared" si="4"/>
        <v>5797.98</v>
      </c>
      <c r="S19" s="72"/>
    </row>
    <row r="20">
      <c r="A20" s="51">
        <v>46128.0</v>
      </c>
      <c r="B20" s="52">
        <v>4240.0</v>
      </c>
      <c r="C20" s="52">
        <v>2785.0</v>
      </c>
      <c r="D20" s="53"/>
      <c r="E20" s="54">
        <f t="shared" si="1"/>
        <v>7025</v>
      </c>
      <c r="F20" s="55">
        <v>2622.37</v>
      </c>
      <c r="G20" s="56"/>
      <c r="H20" s="56"/>
      <c r="I20" s="57"/>
      <c r="J20" s="56"/>
      <c r="K20" s="56"/>
      <c r="L20" s="58">
        <f t="shared" si="2"/>
        <v>2622.37</v>
      </c>
      <c r="M20" s="59"/>
      <c r="N20" s="60"/>
      <c r="O20" s="60"/>
      <c r="P20" s="60"/>
      <c r="Q20" s="62">
        <f t="shared" si="3"/>
        <v>0</v>
      </c>
      <c r="R20" s="63">
        <f t="shared" si="4"/>
        <v>4402.63</v>
      </c>
      <c r="S20" s="64"/>
    </row>
    <row r="21">
      <c r="A21" s="65">
        <v>46129.0</v>
      </c>
      <c r="B21" s="66">
        <v>4080.0</v>
      </c>
      <c r="C21" s="66">
        <v>2837.0</v>
      </c>
      <c r="D21" s="74"/>
      <c r="E21" s="67">
        <f t="shared" si="1"/>
        <v>6917</v>
      </c>
      <c r="F21" s="68">
        <v>3047.0</v>
      </c>
      <c r="G21" s="69"/>
      <c r="H21" s="69"/>
      <c r="I21" s="58"/>
      <c r="J21" s="69"/>
      <c r="K21" s="69"/>
      <c r="L21" s="58">
        <f t="shared" si="2"/>
        <v>3047</v>
      </c>
      <c r="M21" s="62"/>
      <c r="N21" s="70"/>
      <c r="O21" s="70"/>
      <c r="P21" s="70"/>
      <c r="Q21" s="62">
        <f t="shared" si="3"/>
        <v>0</v>
      </c>
      <c r="R21" s="63">
        <f t="shared" si="4"/>
        <v>3870</v>
      </c>
      <c r="S21" s="72"/>
    </row>
    <row r="22">
      <c r="A22" s="51">
        <v>46130.0</v>
      </c>
      <c r="B22" s="52">
        <v>1845.0</v>
      </c>
      <c r="C22" s="52">
        <v>931.0</v>
      </c>
      <c r="D22" s="53"/>
      <c r="E22" s="54">
        <f t="shared" si="1"/>
        <v>2776</v>
      </c>
      <c r="F22" s="55">
        <v>1792.57</v>
      </c>
      <c r="G22" s="56"/>
      <c r="H22" s="56"/>
      <c r="I22" s="57"/>
      <c r="J22" s="56"/>
      <c r="K22" s="56"/>
      <c r="L22" s="58">
        <f t="shared" si="2"/>
        <v>1792.57</v>
      </c>
      <c r="M22" s="59"/>
      <c r="N22" s="60"/>
      <c r="O22" s="60"/>
      <c r="P22" s="60"/>
      <c r="Q22" s="62">
        <f t="shared" si="3"/>
        <v>0</v>
      </c>
      <c r="R22" s="63">
        <f t="shared" si="4"/>
        <v>983.43</v>
      </c>
      <c r="S22" s="64"/>
    </row>
    <row r="23">
      <c r="A23" s="65">
        <v>46131.0</v>
      </c>
      <c r="B23" s="66">
        <v>535.0</v>
      </c>
      <c r="C23" s="66">
        <v>4306.0</v>
      </c>
      <c r="D23" s="74"/>
      <c r="E23" s="67">
        <f t="shared" si="1"/>
        <v>4841</v>
      </c>
      <c r="F23" s="68">
        <v>432.5</v>
      </c>
      <c r="G23" s="69"/>
      <c r="H23" s="69"/>
      <c r="I23" s="58"/>
      <c r="J23" s="69"/>
      <c r="K23" s="69"/>
      <c r="L23" s="58">
        <f t="shared" si="2"/>
        <v>432.5</v>
      </c>
      <c r="M23" s="62"/>
      <c r="N23" s="70"/>
      <c r="O23" s="70"/>
      <c r="P23" s="70"/>
      <c r="Q23" s="62">
        <f t="shared" si="3"/>
        <v>0</v>
      </c>
      <c r="R23" s="63">
        <f t="shared" si="4"/>
        <v>4408.5</v>
      </c>
      <c r="S23" s="72"/>
    </row>
    <row r="24">
      <c r="A24" s="51">
        <v>46132.0</v>
      </c>
      <c r="B24" s="52">
        <v>4025.0</v>
      </c>
      <c r="C24" s="52">
        <v>2500.0</v>
      </c>
      <c r="D24" s="53"/>
      <c r="E24" s="54">
        <f t="shared" si="1"/>
        <v>6525</v>
      </c>
      <c r="F24" s="55">
        <v>5791.5</v>
      </c>
      <c r="G24" s="56"/>
      <c r="H24" s="56"/>
      <c r="I24" s="57"/>
      <c r="J24" s="56"/>
      <c r="K24" s="56"/>
      <c r="L24" s="58">
        <f t="shared" si="2"/>
        <v>5791.5</v>
      </c>
      <c r="M24" s="59"/>
      <c r="N24" s="60"/>
      <c r="O24" s="60"/>
      <c r="P24" s="60"/>
      <c r="Q24" s="62">
        <f t="shared" si="3"/>
        <v>0</v>
      </c>
      <c r="R24" s="63">
        <f t="shared" si="4"/>
        <v>733.5</v>
      </c>
      <c r="S24" s="64"/>
    </row>
    <row r="25">
      <c r="A25" s="65">
        <v>46133.0</v>
      </c>
      <c r="B25" s="66">
        <v>5320.0</v>
      </c>
      <c r="C25" s="66">
        <v>1496.0</v>
      </c>
      <c r="D25" s="74"/>
      <c r="E25" s="67">
        <f t="shared" si="1"/>
        <v>6816</v>
      </c>
      <c r="F25" s="68">
        <v>1144.0</v>
      </c>
      <c r="G25" s="69"/>
      <c r="H25" s="69"/>
      <c r="I25" s="58"/>
      <c r="J25" s="69"/>
      <c r="K25" s="69"/>
      <c r="L25" s="58">
        <f t="shared" si="2"/>
        <v>1144</v>
      </c>
      <c r="M25" s="62"/>
      <c r="N25" s="70"/>
      <c r="O25" s="70"/>
      <c r="P25" s="70"/>
      <c r="Q25" s="62">
        <f t="shared" si="3"/>
        <v>0</v>
      </c>
      <c r="R25" s="63">
        <f t="shared" si="4"/>
        <v>5672</v>
      </c>
      <c r="S25" s="72"/>
    </row>
    <row r="26">
      <c r="A26" s="77">
        <v>46134.0</v>
      </c>
      <c r="B26" s="52">
        <v>545.0</v>
      </c>
      <c r="C26" s="52">
        <v>5265.0</v>
      </c>
      <c r="D26" s="53"/>
      <c r="E26" s="54">
        <f t="shared" si="1"/>
        <v>5810</v>
      </c>
      <c r="F26" s="55">
        <v>2191.78</v>
      </c>
      <c r="G26" s="56"/>
      <c r="H26" s="56"/>
      <c r="I26" s="57"/>
      <c r="J26" s="56"/>
      <c r="K26" s="56"/>
      <c r="L26" s="58">
        <f t="shared" si="2"/>
        <v>2191.78</v>
      </c>
      <c r="M26" s="59"/>
      <c r="N26" s="60"/>
      <c r="O26" s="60"/>
      <c r="P26" s="60"/>
      <c r="Q26" s="62">
        <f t="shared" si="3"/>
        <v>0</v>
      </c>
      <c r="R26" s="63">
        <f t="shared" si="4"/>
        <v>3618.22</v>
      </c>
      <c r="S26" s="64"/>
    </row>
    <row r="27">
      <c r="A27" s="78">
        <v>46135.0</v>
      </c>
      <c r="B27" s="66">
        <v>1930.0</v>
      </c>
      <c r="C27" s="66">
        <v>5360.0</v>
      </c>
      <c r="D27" s="74"/>
      <c r="E27" s="67">
        <f t="shared" si="1"/>
        <v>7290</v>
      </c>
      <c r="F27" s="68">
        <v>5364.14</v>
      </c>
      <c r="G27" s="69"/>
      <c r="H27" s="69"/>
      <c r="I27" s="58"/>
      <c r="J27" s="69"/>
      <c r="K27" s="69"/>
      <c r="L27" s="58">
        <f t="shared" si="2"/>
        <v>5364.14</v>
      </c>
      <c r="M27" s="62"/>
      <c r="N27" s="70"/>
      <c r="O27" s="70"/>
      <c r="P27" s="70"/>
      <c r="Q27" s="62">
        <f t="shared" si="3"/>
        <v>0</v>
      </c>
      <c r="R27" s="63">
        <f t="shared" si="4"/>
        <v>1925.86</v>
      </c>
      <c r="S27" s="72"/>
    </row>
    <row r="28">
      <c r="A28" s="51">
        <v>43945.0</v>
      </c>
      <c r="B28" s="52">
        <v>1735.5</v>
      </c>
      <c r="C28" s="52">
        <v>6770.0</v>
      </c>
      <c r="D28" s="53"/>
      <c r="E28" s="54">
        <f t="shared" si="1"/>
        <v>8505.5</v>
      </c>
      <c r="F28" s="55">
        <v>2344.5</v>
      </c>
      <c r="G28" s="56"/>
      <c r="H28" s="56"/>
      <c r="I28" s="57"/>
      <c r="J28" s="56"/>
      <c r="K28" s="56"/>
      <c r="L28" s="58">
        <f t="shared" si="2"/>
        <v>2344.5</v>
      </c>
      <c r="M28" s="59"/>
      <c r="N28" s="60"/>
      <c r="O28" s="60"/>
      <c r="P28" s="60"/>
      <c r="Q28" s="62">
        <f t="shared" si="3"/>
        <v>0</v>
      </c>
      <c r="R28" s="63">
        <f t="shared" si="4"/>
        <v>6161</v>
      </c>
      <c r="S28" s="64"/>
    </row>
    <row r="29">
      <c r="A29" s="65">
        <v>46137.0</v>
      </c>
      <c r="B29" s="66">
        <v>3775.0</v>
      </c>
      <c r="C29" s="66">
        <v>2845.0</v>
      </c>
      <c r="D29" s="74"/>
      <c r="E29" s="67">
        <f t="shared" si="1"/>
        <v>6620</v>
      </c>
      <c r="F29" s="68">
        <v>3448.0</v>
      </c>
      <c r="G29" s="69"/>
      <c r="H29" s="69"/>
      <c r="I29" s="58"/>
      <c r="J29" s="69"/>
      <c r="K29" s="69"/>
      <c r="L29" s="58">
        <f t="shared" si="2"/>
        <v>3448</v>
      </c>
      <c r="M29" s="62"/>
      <c r="N29" s="70"/>
      <c r="O29" s="70"/>
      <c r="P29" s="70"/>
      <c r="Q29" s="62">
        <f t="shared" si="3"/>
        <v>0</v>
      </c>
      <c r="R29" s="63">
        <f t="shared" si="4"/>
        <v>3172</v>
      </c>
      <c r="S29" s="72"/>
    </row>
    <row r="30">
      <c r="A30" s="79"/>
      <c r="B30" s="53"/>
      <c r="C30" s="53"/>
      <c r="D30" s="53"/>
      <c r="E30" s="54">
        <f t="shared" si="1"/>
        <v>0</v>
      </c>
      <c r="F30" s="56"/>
      <c r="G30" s="56"/>
      <c r="H30" s="56"/>
      <c r="I30" s="57"/>
      <c r="J30" s="56"/>
      <c r="K30" s="56"/>
      <c r="L30" s="58">
        <f t="shared" si="2"/>
        <v>0</v>
      </c>
      <c r="M30" s="59"/>
      <c r="N30" s="60"/>
      <c r="O30" s="60"/>
      <c r="P30" s="60"/>
      <c r="Q30" s="62">
        <f t="shared" si="3"/>
        <v>0</v>
      </c>
      <c r="R30" s="63">
        <f t="shared" si="4"/>
        <v>0</v>
      </c>
      <c r="S30" s="64"/>
    </row>
    <row r="31">
      <c r="A31" s="80"/>
      <c r="B31" s="74"/>
      <c r="C31" s="74"/>
      <c r="D31" s="74"/>
      <c r="E31" s="67">
        <f t="shared" si="1"/>
        <v>0</v>
      </c>
      <c r="F31" s="69"/>
      <c r="G31" s="69"/>
      <c r="H31" s="69"/>
      <c r="I31" s="58"/>
      <c r="J31" s="69"/>
      <c r="K31" s="69"/>
      <c r="L31" s="58">
        <f t="shared" si="2"/>
        <v>0</v>
      </c>
      <c r="M31" s="62"/>
      <c r="N31" s="70"/>
      <c r="O31" s="70"/>
      <c r="P31" s="70"/>
      <c r="Q31" s="62">
        <f t="shared" si="3"/>
        <v>0</v>
      </c>
      <c r="R31" s="63">
        <f t="shared" si="4"/>
        <v>0</v>
      </c>
      <c r="S31" s="72"/>
    </row>
    <row r="32">
      <c r="A32" s="79"/>
      <c r="B32" s="53"/>
      <c r="C32" s="53"/>
      <c r="D32" s="53"/>
      <c r="E32" s="54">
        <f t="shared" si="1"/>
        <v>0</v>
      </c>
      <c r="F32" s="56"/>
      <c r="G32" s="56"/>
      <c r="H32" s="56"/>
      <c r="I32" s="57"/>
      <c r="J32" s="56"/>
      <c r="K32" s="56"/>
      <c r="L32" s="58">
        <f t="shared" si="2"/>
        <v>0</v>
      </c>
      <c r="M32" s="59"/>
      <c r="N32" s="60"/>
      <c r="O32" s="60"/>
      <c r="P32" s="60"/>
      <c r="Q32" s="62">
        <f t="shared" si="3"/>
        <v>0</v>
      </c>
      <c r="R32" s="63">
        <f t="shared" si="4"/>
        <v>0</v>
      </c>
      <c r="S32" s="64"/>
    </row>
    <row r="33">
      <c r="A33" s="80"/>
      <c r="B33" s="74"/>
      <c r="C33" s="74"/>
      <c r="D33" s="74"/>
      <c r="E33" s="67">
        <f t="shared" si="1"/>
        <v>0</v>
      </c>
      <c r="F33" s="69"/>
      <c r="G33" s="69"/>
      <c r="H33" s="69"/>
      <c r="I33" s="58"/>
      <c r="J33" s="69"/>
      <c r="K33" s="69"/>
      <c r="L33" s="58">
        <f t="shared" si="2"/>
        <v>0</v>
      </c>
      <c r="M33" s="62"/>
      <c r="N33" s="70"/>
      <c r="O33" s="70"/>
      <c r="P33" s="70"/>
      <c r="Q33" s="62">
        <f t="shared" si="3"/>
        <v>0</v>
      </c>
      <c r="R33" s="63">
        <f t="shared" si="4"/>
        <v>0</v>
      </c>
      <c r="S33" s="72"/>
    </row>
    <row r="34">
      <c r="A34" s="79"/>
      <c r="B34" s="53"/>
      <c r="C34" s="53"/>
      <c r="D34" s="53"/>
      <c r="E34" s="54">
        <f t="shared" si="1"/>
        <v>0</v>
      </c>
      <c r="F34" s="56"/>
      <c r="G34" s="56"/>
      <c r="H34" s="56"/>
      <c r="I34" s="57"/>
      <c r="J34" s="56"/>
      <c r="K34" s="56"/>
      <c r="L34" s="58">
        <f t="shared" si="2"/>
        <v>0</v>
      </c>
      <c r="M34" s="59"/>
      <c r="N34" s="60"/>
      <c r="O34" s="60"/>
      <c r="P34" s="60"/>
      <c r="Q34" s="62">
        <f t="shared" si="3"/>
        <v>0</v>
      </c>
      <c r="R34" s="63">
        <f t="shared" si="4"/>
        <v>0</v>
      </c>
      <c r="S34" s="64"/>
    </row>
    <row r="35">
      <c r="A35" s="80"/>
      <c r="B35" s="74"/>
      <c r="C35" s="74"/>
      <c r="D35" s="74"/>
      <c r="E35" s="67">
        <f t="shared" si="1"/>
        <v>0</v>
      </c>
      <c r="F35" s="69"/>
      <c r="G35" s="69"/>
      <c r="H35" s="69"/>
      <c r="I35" s="58"/>
      <c r="J35" s="69"/>
      <c r="K35" s="69"/>
      <c r="L35" s="58">
        <f t="shared" si="2"/>
        <v>0</v>
      </c>
      <c r="M35" s="62"/>
      <c r="N35" s="70"/>
      <c r="O35" s="70"/>
      <c r="P35" s="70"/>
      <c r="Q35" s="62">
        <f t="shared" si="3"/>
        <v>0</v>
      </c>
      <c r="R35" s="63">
        <f t="shared" si="4"/>
        <v>0</v>
      </c>
      <c r="S35" s="72"/>
    </row>
    <row r="36">
      <c r="A36" s="79"/>
      <c r="B36" s="53"/>
      <c r="C36" s="53"/>
      <c r="D36" s="53"/>
      <c r="E36" s="54">
        <f t="shared" si="1"/>
        <v>0</v>
      </c>
      <c r="F36" s="56"/>
      <c r="G36" s="56"/>
      <c r="H36" s="56"/>
      <c r="I36" s="57"/>
      <c r="J36" s="56"/>
      <c r="K36" s="56"/>
      <c r="L36" s="58">
        <f t="shared" si="2"/>
        <v>0</v>
      </c>
      <c r="M36" s="59"/>
      <c r="N36" s="60"/>
      <c r="O36" s="60"/>
      <c r="P36" s="60"/>
      <c r="Q36" s="62">
        <f t="shared" si="3"/>
        <v>0</v>
      </c>
      <c r="R36" s="63">
        <f t="shared" si="4"/>
        <v>0</v>
      </c>
      <c r="S36" s="64"/>
    </row>
    <row r="37">
      <c r="A37" s="37" t="s">
        <v>237</v>
      </c>
      <c r="B37" s="81">
        <f t="shared" ref="B37:F37" si="5">SUM(B6:B36)</f>
        <v>92866</v>
      </c>
      <c r="C37" s="81">
        <f t="shared" si="5"/>
        <v>72524.5</v>
      </c>
      <c r="D37" s="81">
        <f t="shared" si="5"/>
        <v>4265</v>
      </c>
      <c r="E37" s="81">
        <f t="shared" si="5"/>
        <v>169655.5</v>
      </c>
      <c r="F37" s="81">
        <f t="shared" si="5"/>
        <v>61032</v>
      </c>
      <c r="G37" s="81"/>
      <c r="H37" s="81">
        <f>SUM(H6:H36)</f>
        <v>1342</v>
      </c>
      <c r="I37" s="81"/>
      <c r="J37" s="81">
        <f>SUM(J6:J36)</f>
        <v>778.7</v>
      </c>
      <c r="K37" s="81"/>
      <c r="L37" s="81">
        <f t="shared" ref="L37:M37" si="6">SUM(L6:L36)</f>
        <v>63152.7</v>
      </c>
      <c r="M37" s="81">
        <f t="shared" si="6"/>
        <v>13100</v>
      </c>
      <c r="N37" s="81"/>
      <c r="O37" s="81">
        <f>SUM(O6:O36)</f>
        <v>8900</v>
      </c>
      <c r="P37" s="81"/>
      <c r="Q37" s="81">
        <f t="shared" ref="Q37:R37" si="7">SUM(Q6:Q36)</f>
        <v>22000</v>
      </c>
      <c r="R37" s="81">
        <f t="shared" si="7"/>
        <v>84502.8</v>
      </c>
      <c r="S37" s="81"/>
    </row>
  </sheetData>
  <mergeCells count="5">
    <mergeCell ref="A1:S1"/>
    <mergeCell ref="A2:S2"/>
    <mergeCell ref="B4:E4"/>
    <mergeCell ref="F4:L4"/>
    <mergeCell ref="M4:Q4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8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5" t="s">
        <v>19</v>
      </c>
    </row>
    <row r="2">
      <c r="A2" s="6" t="s">
        <v>1</v>
      </c>
      <c r="B2" s="6" t="s">
        <v>2</v>
      </c>
      <c r="C2" s="6" t="s">
        <v>3</v>
      </c>
      <c r="D2" s="6" t="s">
        <v>5</v>
      </c>
    </row>
    <row r="3">
      <c r="A3" s="7" t="s">
        <v>20</v>
      </c>
      <c r="B3" s="7" t="s">
        <v>5</v>
      </c>
      <c r="C3" s="7" t="s">
        <v>238</v>
      </c>
      <c r="D3" s="7" t="s">
        <v>5</v>
      </c>
    </row>
    <row r="4">
      <c r="A4" s="8" t="s">
        <v>21</v>
      </c>
      <c r="B4" s="8" t="s">
        <v>5</v>
      </c>
      <c r="C4" s="8" t="s">
        <v>5</v>
      </c>
      <c r="D4" s="8" t="s">
        <v>5</v>
      </c>
    </row>
    <row r="5">
      <c r="A5" s="7" t="s">
        <v>22</v>
      </c>
      <c r="B5" s="7" t="s">
        <v>5</v>
      </c>
      <c r="C5" s="7" t="s">
        <v>239</v>
      </c>
      <c r="D5" s="7" t="s">
        <v>5</v>
      </c>
    </row>
    <row r="6">
      <c r="A6" s="8" t="s">
        <v>23</v>
      </c>
      <c r="B6" s="8" t="s">
        <v>5</v>
      </c>
      <c r="C6" s="8" t="s">
        <v>5</v>
      </c>
      <c r="D6" s="8" t="s">
        <v>5</v>
      </c>
    </row>
    <row r="7">
      <c r="A7" s="7" t="s">
        <v>24</v>
      </c>
      <c r="B7" s="7" t="s">
        <v>5</v>
      </c>
      <c r="C7" s="7" t="s">
        <v>5</v>
      </c>
      <c r="D7" s="7" t="s">
        <v>5</v>
      </c>
    </row>
    <row r="8">
      <c r="A8" s="8" t="s">
        <v>25</v>
      </c>
      <c r="B8" s="8" t="s">
        <v>5</v>
      </c>
      <c r="C8" s="8" t="s">
        <v>5</v>
      </c>
      <c r="D8" s="8" t="s">
        <v>5</v>
      </c>
    </row>
    <row r="9">
      <c r="A9" s="7" t="s">
        <v>26</v>
      </c>
      <c r="B9" s="7" t="s">
        <v>5</v>
      </c>
      <c r="C9" s="7" t="s">
        <v>5</v>
      </c>
      <c r="D9" s="7" t="s">
        <v>5</v>
      </c>
    </row>
    <row r="10">
      <c r="A10" s="8" t="s">
        <v>27</v>
      </c>
      <c r="B10" s="8" t="s">
        <v>5</v>
      </c>
      <c r="C10" s="8" t="s">
        <v>5</v>
      </c>
      <c r="D10" s="8" t="s">
        <v>5</v>
      </c>
    </row>
    <row r="11">
      <c r="A11" s="7" t="s">
        <v>28</v>
      </c>
      <c r="B11" s="7" t="s">
        <v>5</v>
      </c>
      <c r="C11" s="7" t="s">
        <v>240</v>
      </c>
      <c r="D11" s="7" t="s">
        <v>5</v>
      </c>
    </row>
    <row r="12">
      <c r="A12" s="8" t="s">
        <v>29</v>
      </c>
      <c r="B12" s="8" t="s">
        <v>5</v>
      </c>
      <c r="C12" s="8" t="s">
        <v>240</v>
      </c>
      <c r="D12" s="8" t="s">
        <v>5</v>
      </c>
    </row>
    <row r="13">
      <c r="A13" s="7" t="s">
        <v>30</v>
      </c>
      <c r="B13" s="7" t="s">
        <v>5</v>
      </c>
      <c r="C13" s="7" t="s">
        <v>241</v>
      </c>
      <c r="D13" s="7" t="s">
        <v>5</v>
      </c>
    </row>
    <row r="14">
      <c r="A14" s="8" t="s">
        <v>31</v>
      </c>
      <c r="B14" s="8" t="s">
        <v>5</v>
      </c>
      <c r="C14" s="8" t="s">
        <v>5</v>
      </c>
      <c r="D14" s="8" t="s">
        <v>5</v>
      </c>
    </row>
    <row r="15">
      <c r="A15" s="7" t="s">
        <v>32</v>
      </c>
      <c r="B15" s="7" t="s">
        <v>5</v>
      </c>
      <c r="C15" s="7" t="s">
        <v>5</v>
      </c>
      <c r="D15" s="7" t="s">
        <v>5</v>
      </c>
    </row>
    <row r="16">
      <c r="A16" s="8" t="s">
        <v>33</v>
      </c>
      <c r="B16" s="8" t="s">
        <v>5</v>
      </c>
      <c r="C16" s="8" t="s">
        <v>5</v>
      </c>
      <c r="D16" s="8" t="s">
        <v>5</v>
      </c>
    </row>
    <row r="17">
      <c r="A17" s="7" t="s">
        <v>34</v>
      </c>
      <c r="B17" s="7" t="s">
        <v>5</v>
      </c>
      <c r="C17" s="7" t="s">
        <v>240</v>
      </c>
      <c r="D17" s="7" t="s">
        <v>5</v>
      </c>
    </row>
    <row r="18">
      <c r="A18" s="8" t="s">
        <v>35</v>
      </c>
      <c r="B18" s="8" t="s">
        <v>5</v>
      </c>
      <c r="C18" s="8" t="s">
        <v>242</v>
      </c>
      <c r="D18" s="8" t="s">
        <v>5</v>
      </c>
    </row>
    <row r="19">
      <c r="A19" s="7" t="s">
        <v>36</v>
      </c>
      <c r="B19" s="7" t="s">
        <v>5</v>
      </c>
      <c r="C19" s="7" t="s">
        <v>5</v>
      </c>
      <c r="D19" s="7" t="s">
        <v>5</v>
      </c>
    </row>
    <row r="20">
      <c r="A20" s="8" t="s">
        <v>37</v>
      </c>
      <c r="B20" s="8" t="s">
        <v>5</v>
      </c>
      <c r="C20" s="8" t="s">
        <v>5</v>
      </c>
      <c r="D20" s="8" t="s">
        <v>5</v>
      </c>
    </row>
    <row r="21">
      <c r="A21" s="7" t="s">
        <v>38</v>
      </c>
      <c r="B21" s="7" t="s">
        <v>5</v>
      </c>
      <c r="C21" s="7" t="s">
        <v>5</v>
      </c>
      <c r="D21" s="7" t="s">
        <v>5</v>
      </c>
    </row>
    <row r="22">
      <c r="A22" s="8" t="s">
        <v>39</v>
      </c>
      <c r="B22" s="8" t="s">
        <v>5</v>
      </c>
      <c r="C22" s="8" t="s">
        <v>5</v>
      </c>
      <c r="D22" s="8" t="s">
        <v>5</v>
      </c>
    </row>
    <row r="23">
      <c r="A23" s="7" t="s">
        <v>40</v>
      </c>
      <c r="B23" s="7" t="s">
        <v>5</v>
      </c>
      <c r="C23" s="7" t="s">
        <v>5</v>
      </c>
      <c r="D23" s="7" t="s">
        <v>5</v>
      </c>
    </row>
    <row r="24">
      <c r="A24" s="8" t="s">
        <v>41</v>
      </c>
      <c r="B24" s="8" t="s">
        <v>5</v>
      </c>
      <c r="C24" s="8" t="s">
        <v>240</v>
      </c>
      <c r="D24" s="8" t="s">
        <v>5</v>
      </c>
    </row>
    <row r="25">
      <c r="A25" s="7" t="s">
        <v>42</v>
      </c>
      <c r="B25" s="7" t="s">
        <v>5</v>
      </c>
      <c r="C25" s="7" t="s">
        <v>5</v>
      </c>
      <c r="D25" s="7" t="s">
        <v>5</v>
      </c>
    </row>
    <row r="26">
      <c r="A26" s="8" t="s">
        <v>43</v>
      </c>
      <c r="B26" s="8" t="s">
        <v>5</v>
      </c>
      <c r="C26" s="8" t="s">
        <v>239</v>
      </c>
      <c r="D26" s="8" t="s">
        <v>5</v>
      </c>
    </row>
    <row r="27">
      <c r="A27" s="7" t="s">
        <v>44</v>
      </c>
      <c r="B27" s="7" t="s">
        <v>5</v>
      </c>
      <c r="C27" s="7" t="s">
        <v>243</v>
      </c>
      <c r="D27" s="7" t="s">
        <v>5</v>
      </c>
    </row>
    <row r="28">
      <c r="A28" s="8" t="s">
        <v>45</v>
      </c>
      <c r="B28" s="8" t="s">
        <v>5</v>
      </c>
      <c r="C28" s="8" t="s">
        <v>243</v>
      </c>
      <c r="D28" s="8" t="s">
        <v>5</v>
      </c>
    </row>
    <row r="29">
      <c r="A29" s="7" t="s">
        <v>46</v>
      </c>
      <c r="B29" s="7" t="s">
        <v>5</v>
      </c>
      <c r="C29" s="7" t="s">
        <v>243</v>
      </c>
      <c r="D29" s="7" t="s">
        <v>5</v>
      </c>
    </row>
    <row r="30">
      <c r="A30" s="8" t="s">
        <v>47</v>
      </c>
      <c r="B30" s="8" t="s">
        <v>5</v>
      </c>
      <c r="C30" s="8" t="s">
        <v>5</v>
      </c>
      <c r="D30" s="8" t="s">
        <v>5</v>
      </c>
    </row>
    <row r="31">
      <c r="A31" s="7" t="s">
        <v>48</v>
      </c>
      <c r="B31" s="7" t="s">
        <v>5</v>
      </c>
      <c r="C31" s="7" t="s">
        <v>5</v>
      </c>
      <c r="D31" s="7" t="s">
        <v>5</v>
      </c>
    </row>
    <row r="32">
      <c r="A32" s="8" t="s">
        <v>49</v>
      </c>
      <c r="B32" s="8" t="s">
        <v>5</v>
      </c>
      <c r="C32" s="8" t="s">
        <v>5</v>
      </c>
      <c r="D32" s="8" t="s">
        <v>5</v>
      </c>
    </row>
    <row r="33">
      <c r="A33" s="7" t="s">
        <v>50</v>
      </c>
      <c r="B33" s="7" t="s">
        <v>5</v>
      </c>
      <c r="C33" s="7" t="s">
        <v>5</v>
      </c>
      <c r="D33" s="7" t="s">
        <v>5</v>
      </c>
    </row>
    <row r="34">
      <c r="A34" s="8" t="s">
        <v>51</v>
      </c>
      <c r="B34" s="8" t="s">
        <v>5</v>
      </c>
      <c r="C34" s="8" t="s">
        <v>240</v>
      </c>
      <c r="D34" s="8" t="s">
        <v>5</v>
      </c>
    </row>
    <row r="35">
      <c r="A35" s="7" t="s">
        <v>52</v>
      </c>
      <c r="B35" s="7" t="s">
        <v>5</v>
      </c>
      <c r="C35" s="7" t="s">
        <v>240</v>
      </c>
      <c r="D35" s="7" t="s">
        <v>5</v>
      </c>
    </row>
    <row r="36">
      <c r="A36" s="8" t="s">
        <v>53</v>
      </c>
      <c r="B36" s="8" t="s">
        <v>5</v>
      </c>
      <c r="C36" s="8" t="s">
        <v>5</v>
      </c>
      <c r="D36" s="8" t="s">
        <v>5</v>
      </c>
    </row>
    <row r="37">
      <c r="A37" s="7" t="s">
        <v>54</v>
      </c>
      <c r="B37" s="7" t="s">
        <v>5</v>
      </c>
      <c r="C37" s="7" t="s">
        <v>5</v>
      </c>
      <c r="D37" s="7" t="s">
        <v>5</v>
      </c>
    </row>
    <row r="38">
      <c r="A38" s="8" t="s">
        <v>55</v>
      </c>
      <c r="B38" s="8" t="s">
        <v>5</v>
      </c>
      <c r="C38" s="8" t="s">
        <v>241</v>
      </c>
      <c r="D38" s="8" t="s">
        <v>5</v>
      </c>
    </row>
    <row r="39">
      <c r="A39" s="7" t="s">
        <v>56</v>
      </c>
      <c r="B39" s="7" t="s">
        <v>5</v>
      </c>
      <c r="C39" s="7" t="s">
        <v>241</v>
      </c>
      <c r="D39" s="7" t="s">
        <v>5</v>
      </c>
    </row>
    <row r="40">
      <c r="A40" s="8" t="s">
        <v>57</v>
      </c>
      <c r="B40" s="8" t="s">
        <v>5</v>
      </c>
      <c r="C40" s="8" t="s">
        <v>5</v>
      </c>
      <c r="D40" s="8" t="s">
        <v>5</v>
      </c>
    </row>
    <row r="41">
      <c r="A41" s="7" t="s">
        <v>58</v>
      </c>
      <c r="B41" s="7" t="s">
        <v>5</v>
      </c>
      <c r="C41" s="7" t="s">
        <v>5</v>
      </c>
      <c r="D41" s="7" t="s">
        <v>5</v>
      </c>
    </row>
    <row r="42">
      <c r="A42" s="8" t="s">
        <v>59</v>
      </c>
      <c r="B42" s="8" t="s">
        <v>5</v>
      </c>
      <c r="C42" s="8" t="s">
        <v>5</v>
      </c>
      <c r="D42" s="8" t="s">
        <v>5</v>
      </c>
    </row>
    <row r="43">
      <c r="A43" s="7" t="s">
        <v>60</v>
      </c>
      <c r="B43" s="7" t="s">
        <v>5</v>
      </c>
      <c r="C43" s="7" t="s">
        <v>5</v>
      </c>
      <c r="D43" s="7" t="s">
        <v>5</v>
      </c>
    </row>
    <row r="44">
      <c r="A44" s="8" t="s">
        <v>61</v>
      </c>
      <c r="B44" s="8" t="s">
        <v>5</v>
      </c>
      <c r="C44" s="8" t="s">
        <v>5</v>
      </c>
      <c r="D44" s="8" t="s">
        <v>5</v>
      </c>
    </row>
    <row r="45">
      <c r="A45" s="7" t="s">
        <v>62</v>
      </c>
      <c r="B45" s="7" t="s">
        <v>5</v>
      </c>
      <c r="C45" s="7" t="s">
        <v>5</v>
      </c>
      <c r="D45" s="7" t="s">
        <v>5</v>
      </c>
    </row>
    <row r="46">
      <c r="A46" s="8" t="s">
        <v>63</v>
      </c>
      <c r="B46" s="8" t="s">
        <v>5</v>
      </c>
      <c r="C46" s="8" t="s">
        <v>5</v>
      </c>
      <c r="D46" s="8" t="s">
        <v>5</v>
      </c>
    </row>
    <row r="47">
      <c r="A47" s="7" t="s">
        <v>64</v>
      </c>
      <c r="B47" s="7" t="s">
        <v>5</v>
      </c>
      <c r="C47" s="7" t="s">
        <v>243</v>
      </c>
      <c r="D47" s="7" t="s">
        <v>5</v>
      </c>
    </row>
    <row r="48">
      <c r="A48" s="8" t="s">
        <v>65</v>
      </c>
      <c r="B48" s="8" t="s">
        <v>5</v>
      </c>
      <c r="C48" s="8" t="s">
        <v>5</v>
      </c>
      <c r="D48" s="8" t="s">
        <v>5</v>
      </c>
    </row>
    <row r="49">
      <c r="A49" s="7" t="s">
        <v>66</v>
      </c>
      <c r="B49" s="7" t="s">
        <v>5</v>
      </c>
      <c r="C49" s="7" t="s">
        <v>5</v>
      </c>
      <c r="D49" s="7" t="s">
        <v>5</v>
      </c>
    </row>
    <row r="50">
      <c r="A50" s="8" t="s">
        <v>67</v>
      </c>
      <c r="B50" s="8" t="s">
        <v>5</v>
      </c>
      <c r="C50" s="8" t="s">
        <v>244</v>
      </c>
      <c r="D50" s="8" t="s">
        <v>5</v>
      </c>
    </row>
    <row r="51">
      <c r="A51" s="7" t="s">
        <v>68</v>
      </c>
      <c r="B51" s="7" t="s">
        <v>5</v>
      </c>
      <c r="C51" s="7" t="s">
        <v>242</v>
      </c>
      <c r="D51" s="7" t="s">
        <v>5</v>
      </c>
    </row>
    <row r="52">
      <c r="A52" s="8" t="s">
        <v>69</v>
      </c>
      <c r="B52" s="8" t="s">
        <v>5</v>
      </c>
      <c r="C52" s="8" t="s">
        <v>5</v>
      </c>
      <c r="D52" s="8" t="s">
        <v>5</v>
      </c>
    </row>
    <row r="53">
      <c r="A53" s="7" t="s">
        <v>70</v>
      </c>
      <c r="B53" s="7" t="s">
        <v>5</v>
      </c>
      <c r="C53" s="7" t="s">
        <v>242</v>
      </c>
      <c r="D53" s="7" t="s">
        <v>5</v>
      </c>
    </row>
    <row r="54">
      <c r="A54" s="8" t="s">
        <v>71</v>
      </c>
      <c r="B54" s="8" t="s">
        <v>5</v>
      </c>
      <c r="C54" s="8" t="s">
        <v>5</v>
      </c>
      <c r="D54" s="8" t="s">
        <v>5</v>
      </c>
    </row>
    <row r="55">
      <c r="A55" s="7" t="s">
        <v>72</v>
      </c>
      <c r="B55" s="7" t="s">
        <v>5</v>
      </c>
      <c r="C55" s="7" t="s">
        <v>5</v>
      </c>
      <c r="D55" s="7" t="s">
        <v>5</v>
      </c>
    </row>
    <row r="56">
      <c r="A56" s="8" t="s">
        <v>73</v>
      </c>
      <c r="B56" s="8" t="s">
        <v>5</v>
      </c>
      <c r="C56" s="8" t="s">
        <v>243</v>
      </c>
      <c r="D56" s="8" t="s">
        <v>5</v>
      </c>
    </row>
    <row r="57">
      <c r="A57" s="7" t="s">
        <v>74</v>
      </c>
      <c r="B57" s="7" t="s">
        <v>5</v>
      </c>
      <c r="C57" s="7" t="s">
        <v>243</v>
      </c>
      <c r="D57" s="7" t="s">
        <v>5</v>
      </c>
    </row>
    <row r="58">
      <c r="A58" s="8" t="s">
        <v>75</v>
      </c>
      <c r="B58" s="8" t="s">
        <v>5</v>
      </c>
      <c r="C58" s="8" t="s">
        <v>240</v>
      </c>
      <c r="D58" s="8" t="s">
        <v>5</v>
      </c>
    </row>
    <row r="59">
      <c r="A59" s="7" t="s">
        <v>76</v>
      </c>
      <c r="B59" s="7" t="s">
        <v>5</v>
      </c>
      <c r="C59" s="7" t="s">
        <v>240</v>
      </c>
      <c r="D59" s="7" t="s">
        <v>5</v>
      </c>
    </row>
    <row r="60">
      <c r="A60" s="8" t="s">
        <v>77</v>
      </c>
      <c r="B60" s="8" t="s">
        <v>5</v>
      </c>
      <c r="C60" s="8" t="s">
        <v>5</v>
      </c>
      <c r="D60" s="8" t="s">
        <v>5</v>
      </c>
    </row>
    <row r="61">
      <c r="A61" s="7" t="s">
        <v>78</v>
      </c>
      <c r="B61" s="7" t="s">
        <v>5</v>
      </c>
      <c r="C61" s="7" t="s">
        <v>5</v>
      </c>
      <c r="D61" s="7" t="s">
        <v>5</v>
      </c>
    </row>
    <row r="62">
      <c r="A62" s="8" t="s">
        <v>79</v>
      </c>
      <c r="B62" s="8" t="s">
        <v>5</v>
      </c>
      <c r="C62" s="8" t="s">
        <v>5</v>
      </c>
      <c r="D62" s="8" t="s">
        <v>5</v>
      </c>
    </row>
    <row r="63">
      <c r="A63" s="7" t="s">
        <v>80</v>
      </c>
      <c r="B63" s="7" t="s">
        <v>5</v>
      </c>
      <c r="C63" s="7" t="s">
        <v>5</v>
      </c>
      <c r="D63" s="7" t="s">
        <v>5</v>
      </c>
    </row>
    <row r="64">
      <c r="A64" s="8" t="s">
        <v>81</v>
      </c>
      <c r="B64" s="8" t="s">
        <v>5</v>
      </c>
      <c r="C64" s="8" t="s">
        <v>5</v>
      </c>
      <c r="D64" s="8" t="s">
        <v>5</v>
      </c>
    </row>
    <row r="65">
      <c r="A65" s="7" t="s">
        <v>82</v>
      </c>
      <c r="B65" s="7" t="s">
        <v>5</v>
      </c>
      <c r="C65" s="7" t="s">
        <v>5</v>
      </c>
      <c r="D65" s="7" t="s">
        <v>5</v>
      </c>
    </row>
    <row r="66">
      <c r="A66" s="8" t="s">
        <v>83</v>
      </c>
      <c r="B66" s="8" t="s">
        <v>5</v>
      </c>
      <c r="C66" s="8" t="s">
        <v>5</v>
      </c>
      <c r="D66" s="8" t="s">
        <v>5</v>
      </c>
    </row>
    <row r="67">
      <c r="A67" s="7" t="s">
        <v>84</v>
      </c>
      <c r="B67" s="7" t="s">
        <v>5</v>
      </c>
      <c r="C67" s="7" t="s">
        <v>238</v>
      </c>
      <c r="D67" s="7" t="s">
        <v>5</v>
      </c>
    </row>
    <row r="68">
      <c r="A68" s="8" t="s">
        <v>85</v>
      </c>
      <c r="B68" s="8" t="s">
        <v>5</v>
      </c>
      <c r="C68" s="8" t="s">
        <v>5</v>
      </c>
      <c r="D68" s="8" t="s">
        <v>5</v>
      </c>
    </row>
    <row r="69">
      <c r="A69" s="7" t="s">
        <v>86</v>
      </c>
      <c r="B69" s="7" t="s">
        <v>5</v>
      </c>
      <c r="C69" s="7" t="s">
        <v>5</v>
      </c>
      <c r="D69" s="7" t="s">
        <v>5</v>
      </c>
    </row>
    <row r="70">
      <c r="A70" s="8" t="s">
        <v>87</v>
      </c>
      <c r="B70" s="8" t="s">
        <v>5</v>
      </c>
      <c r="C70" s="8" t="s">
        <v>5</v>
      </c>
      <c r="D70" s="8" t="s">
        <v>5</v>
      </c>
    </row>
    <row r="71">
      <c r="A71" s="7" t="s">
        <v>88</v>
      </c>
      <c r="B71" s="7" t="s">
        <v>5</v>
      </c>
      <c r="C71" s="7" t="s">
        <v>5</v>
      </c>
      <c r="D71" s="7" t="s">
        <v>5</v>
      </c>
    </row>
    <row r="72">
      <c r="A72" s="8" t="s">
        <v>89</v>
      </c>
      <c r="B72" s="8" t="s">
        <v>5</v>
      </c>
      <c r="C72" s="8" t="s">
        <v>5</v>
      </c>
      <c r="D72" s="8" t="s">
        <v>5</v>
      </c>
    </row>
    <row r="73">
      <c r="A73" s="7" t="s">
        <v>90</v>
      </c>
      <c r="B73" s="7" t="s">
        <v>5</v>
      </c>
      <c r="C73" s="7" t="s">
        <v>242</v>
      </c>
      <c r="D73" s="7" t="s">
        <v>5</v>
      </c>
    </row>
    <row r="74">
      <c r="A74" s="8" t="s">
        <v>245</v>
      </c>
      <c r="B74" s="8" t="s">
        <v>5</v>
      </c>
      <c r="C74" s="8" t="s">
        <v>239</v>
      </c>
      <c r="D74" s="8" t="s">
        <v>5</v>
      </c>
    </row>
    <row r="75">
      <c r="A75" s="7" t="s">
        <v>246</v>
      </c>
      <c r="B75" s="7" t="s">
        <v>5</v>
      </c>
      <c r="C75" s="7" t="s">
        <v>239</v>
      </c>
      <c r="D75" s="7" t="s">
        <v>5</v>
      </c>
    </row>
    <row r="76">
      <c r="A76" s="8" t="s">
        <v>247</v>
      </c>
      <c r="B76" s="8" t="s">
        <v>5</v>
      </c>
      <c r="C76" s="8" t="s">
        <v>239</v>
      </c>
      <c r="D76" s="8" t="s">
        <v>5</v>
      </c>
    </row>
    <row r="77">
      <c r="A77" s="7" t="s">
        <v>248</v>
      </c>
      <c r="B77" s="7" t="s">
        <v>5</v>
      </c>
      <c r="C77" s="7" t="s">
        <v>243</v>
      </c>
      <c r="D77" s="7" t="s">
        <v>5</v>
      </c>
    </row>
    <row r="78">
      <c r="A78" s="8" t="s">
        <v>249</v>
      </c>
      <c r="B78" s="8" t="s">
        <v>5</v>
      </c>
      <c r="C78" s="8" t="s">
        <v>240</v>
      </c>
      <c r="D78" s="8" t="s">
        <v>5</v>
      </c>
    </row>
    <row r="79">
      <c r="A79" s="7" t="s">
        <v>250</v>
      </c>
      <c r="B79" s="7" t="s">
        <v>5</v>
      </c>
      <c r="C79" s="7" t="s">
        <v>239</v>
      </c>
      <c r="D79" s="7" t="s">
        <v>5</v>
      </c>
    </row>
    <row r="80">
      <c r="A80" s="8" t="s">
        <v>251</v>
      </c>
      <c r="B80" s="8" t="s">
        <v>5</v>
      </c>
      <c r="C80" s="8" t="s">
        <v>244</v>
      </c>
      <c r="D80" s="8" t="s">
        <v>5</v>
      </c>
    </row>
    <row r="81">
      <c r="A81" s="7" t="s">
        <v>252</v>
      </c>
      <c r="B81" s="7" t="s">
        <v>5</v>
      </c>
      <c r="C81" s="7" t="s">
        <v>243</v>
      </c>
      <c r="D81" s="7" t="s">
        <v>5</v>
      </c>
    </row>
    <row r="82">
      <c r="A82" s="8" t="s">
        <v>253</v>
      </c>
      <c r="B82" s="8" t="s">
        <v>5</v>
      </c>
      <c r="C82" s="8" t="s">
        <v>240</v>
      </c>
      <c r="D82" s="8" t="s">
        <v>5</v>
      </c>
    </row>
    <row r="83">
      <c r="A83" s="7" t="s">
        <v>254</v>
      </c>
      <c r="B83" s="7" t="s">
        <v>5</v>
      </c>
      <c r="C83" s="7" t="s">
        <v>240</v>
      </c>
      <c r="D83" s="7" t="s">
        <v>5</v>
      </c>
    </row>
    <row r="84">
      <c r="A84" s="8" t="s">
        <v>255</v>
      </c>
      <c r="B84" s="8" t="s">
        <v>5</v>
      </c>
      <c r="C84" s="8" t="s">
        <v>241</v>
      </c>
      <c r="D84" s="8" t="s">
        <v>5</v>
      </c>
    </row>
    <row r="85">
      <c r="A85" s="7" t="s">
        <v>256</v>
      </c>
      <c r="B85" s="7" t="s">
        <v>5</v>
      </c>
      <c r="C85" s="7" t="s">
        <v>240</v>
      </c>
      <c r="D85" s="7" t="s">
        <v>5</v>
      </c>
    </row>
    <row r="86">
      <c r="A86" s="8" t="s">
        <v>257</v>
      </c>
      <c r="B86" s="8" t="s">
        <v>5</v>
      </c>
      <c r="C86" s="8" t="s">
        <v>242</v>
      </c>
      <c r="D86" s="8" t="s">
        <v>5</v>
      </c>
    </row>
    <row r="87">
      <c r="A87" s="7" t="s">
        <v>258</v>
      </c>
      <c r="B87" s="7" t="s">
        <v>5</v>
      </c>
      <c r="C87" s="7" t="s">
        <v>242</v>
      </c>
      <c r="D87" s="7" t="s">
        <v>5</v>
      </c>
    </row>
    <row r="88">
      <c r="A88" s="8" t="s">
        <v>259</v>
      </c>
      <c r="B88" s="8" t="s">
        <v>5</v>
      </c>
      <c r="C88" s="8" t="s">
        <v>242</v>
      </c>
      <c r="D88" s="8" t="s">
        <v>5</v>
      </c>
    </row>
    <row r="89">
      <c r="A89" s="7" t="s">
        <v>260</v>
      </c>
      <c r="B89" s="7" t="s">
        <v>5</v>
      </c>
      <c r="C89" s="7" t="s">
        <v>240</v>
      </c>
      <c r="D89" s="7" t="s">
        <v>5</v>
      </c>
    </row>
  </sheetData>
  <mergeCells count="1">
    <mergeCell ref="A1:D1"/>
  </mergeCells>
  <dataValidations>
    <dataValidation type="list" allowBlank="1" sqref="D3:D89">
      <formula1>"Bouteille,Boîte,Casier,Kg,L,Paquet,Pièce,Sachet"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10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19" t="s">
        <v>135</v>
      </c>
    </row>
    <row r="2">
      <c r="A2" s="20" t="s">
        <v>1</v>
      </c>
      <c r="B2" s="20" t="s">
        <v>2</v>
      </c>
      <c r="C2" s="20" t="s">
        <v>3</v>
      </c>
    </row>
    <row r="3">
      <c r="A3" s="21" t="s">
        <v>136</v>
      </c>
      <c r="B3" s="21" t="s">
        <v>5</v>
      </c>
      <c r="C3" s="21" t="s">
        <v>5</v>
      </c>
    </row>
    <row r="4">
      <c r="A4" s="22" t="s">
        <v>137</v>
      </c>
      <c r="B4" s="22" t="s">
        <v>5</v>
      </c>
      <c r="C4" s="22" t="s">
        <v>5</v>
      </c>
    </row>
    <row r="5">
      <c r="A5" s="21" t="s">
        <v>138</v>
      </c>
      <c r="B5" s="21" t="s">
        <v>5</v>
      </c>
      <c r="C5" s="21" t="s">
        <v>5</v>
      </c>
    </row>
    <row r="6">
      <c r="A6" s="22" t="s">
        <v>139</v>
      </c>
      <c r="B6" s="22" t="s">
        <v>5</v>
      </c>
      <c r="C6" s="22" t="s">
        <v>5</v>
      </c>
    </row>
    <row r="7">
      <c r="A7" s="21" t="s">
        <v>140</v>
      </c>
      <c r="B7" s="21" t="s">
        <v>5</v>
      </c>
      <c r="C7" s="21" t="s">
        <v>5</v>
      </c>
    </row>
  </sheetData>
  <mergeCells count="1">
    <mergeCell ref="A1:C1"/>
  </mergeCells>
  <dataValidations>
    <dataValidation type="list" allowBlank="1" sqref="C3:C7">
      <formula1>"Bouteille,Boîte,Casier,Kg,L,Paquet,Pièce,Sachet"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96F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27" t="s">
        <v>190</v>
      </c>
    </row>
    <row r="2">
      <c r="A2" s="28" t="s">
        <v>1</v>
      </c>
      <c r="B2" s="28" t="s">
        <v>2</v>
      </c>
      <c r="C2" s="28" t="s">
        <v>3</v>
      </c>
    </row>
    <row r="3">
      <c r="A3" s="29" t="s">
        <v>191</v>
      </c>
      <c r="B3" s="29" t="s">
        <v>5</v>
      </c>
      <c r="C3" s="29" t="s">
        <v>5</v>
      </c>
    </row>
    <row r="4">
      <c r="A4" s="30" t="s">
        <v>192</v>
      </c>
      <c r="B4" s="30" t="s">
        <v>5</v>
      </c>
      <c r="C4" s="30" t="s">
        <v>5</v>
      </c>
    </row>
    <row r="5">
      <c r="A5" s="29" t="s">
        <v>193</v>
      </c>
      <c r="B5" s="29" t="s">
        <v>5</v>
      </c>
      <c r="C5" s="29" t="s">
        <v>5</v>
      </c>
    </row>
    <row r="6">
      <c r="A6" s="30" t="s">
        <v>194</v>
      </c>
      <c r="B6" s="30" t="s">
        <v>5</v>
      </c>
      <c r="C6" s="30" t="s">
        <v>5</v>
      </c>
    </row>
    <row r="7">
      <c r="A7" s="29" t="s">
        <v>195</v>
      </c>
      <c r="B7" s="29" t="s">
        <v>5</v>
      </c>
      <c r="C7" s="29" t="s">
        <v>5</v>
      </c>
    </row>
    <row r="8">
      <c r="A8" s="30" t="s">
        <v>196</v>
      </c>
      <c r="B8" s="30" t="s">
        <v>5</v>
      </c>
      <c r="C8" s="30" t="s">
        <v>5</v>
      </c>
    </row>
    <row r="9">
      <c r="A9" s="29" t="s">
        <v>197</v>
      </c>
      <c r="B9" s="29" t="s">
        <v>5</v>
      </c>
      <c r="C9" s="29" t="s">
        <v>5</v>
      </c>
    </row>
    <row r="10">
      <c r="A10" s="30" t="s">
        <v>198</v>
      </c>
      <c r="B10" s="30" t="s">
        <v>5</v>
      </c>
      <c r="C10" s="30" t="s">
        <v>5</v>
      </c>
    </row>
    <row r="11">
      <c r="A11" s="29" t="s">
        <v>199</v>
      </c>
      <c r="B11" s="29" t="s">
        <v>5</v>
      </c>
      <c r="C11" s="29" t="s">
        <v>5</v>
      </c>
    </row>
    <row r="12">
      <c r="A12" s="30" t="s">
        <v>200</v>
      </c>
      <c r="B12" s="30" t="s">
        <v>5</v>
      </c>
      <c r="C12" s="30" t="s">
        <v>5</v>
      </c>
    </row>
    <row r="13">
      <c r="A13" s="29" t="s">
        <v>201</v>
      </c>
      <c r="B13" s="29" t="s">
        <v>5</v>
      </c>
      <c r="C13" s="29" t="s">
        <v>5</v>
      </c>
    </row>
  </sheetData>
  <mergeCells count="1">
    <mergeCell ref="A1:C1"/>
  </mergeCells>
  <dataValidations>
    <dataValidation type="list" allowBlank="1" sqref="C3:C13">
      <formula1>"Bouteille,Boîte,Casier,Kg,L,Paquet,Pièce,Sachet"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433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31" t="s">
        <v>202</v>
      </c>
    </row>
    <row r="2">
      <c r="A2" s="32" t="s">
        <v>1</v>
      </c>
      <c r="B2" s="32" t="s">
        <v>2</v>
      </c>
      <c r="C2" s="32" t="s">
        <v>3</v>
      </c>
    </row>
    <row r="3">
      <c r="A3" s="33" t="s">
        <v>203</v>
      </c>
      <c r="B3" s="33" t="s">
        <v>5</v>
      </c>
      <c r="C3" s="33" t="s">
        <v>5</v>
      </c>
    </row>
    <row r="4">
      <c r="A4" s="34" t="s">
        <v>204</v>
      </c>
      <c r="B4" s="34" t="s">
        <v>5</v>
      </c>
      <c r="C4" s="34" t="s">
        <v>5</v>
      </c>
    </row>
    <row r="5">
      <c r="A5" s="33" t="s">
        <v>205</v>
      </c>
      <c r="B5" s="33" t="s">
        <v>5</v>
      </c>
      <c r="C5" s="33" t="s">
        <v>5</v>
      </c>
    </row>
    <row r="6">
      <c r="A6" s="34" t="s">
        <v>206</v>
      </c>
      <c r="B6" s="34" t="s">
        <v>5</v>
      </c>
      <c r="C6" s="34" t="s">
        <v>5</v>
      </c>
    </row>
    <row r="7">
      <c r="A7" s="33" t="s">
        <v>207</v>
      </c>
      <c r="B7" s="33" t="s">
        <v>5</v>
      </c>
      <c r="C7" s="33" t="s">
        <v>5</v>
      </c>
    </row>
  </sheetData>
  <mergeCells count="1">
    <mergeCell ref="A1:C1"/>
  </mergeCells>
  <dataValidations>
    <dataValidation type="list" allowBlank="1" sqref="C3:C7">
      <formula1>"Bouteille,Boîte,Casier,Kg,L,Paquet,Pièce,Sachet"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27B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9" t="s">
        <v>261</v>
      </c>
    </row>
    <row r="2">
      <c r="A2" s="10" t="s">
        <v>1</v>
      </c>
      <c r="B2" s="10" t="s">
        <v>2</v>
      </c>
      <c r="C2" s="10" t="s">
        <v>3</v>
      </c>
      <c r="D2" s="10" t="s">
        <v>5</v>
      </c>
    </row>
    <row r="3">
      <c r="A3" s="11" t="s">
        <v>92</v>
      </c>
      <c r="B3" s="11" t="s">
        <v>5</v>
      </c>
      <c r="C3" s="11" t="s">
        <v>5</v>
      </c>
      <c r="D3" s="11" t="s">
        <v>5</v>
      </c>
    </row>
    <row r="4">
      <c r="A4" s="12" t="s">
        <v>93</v>
      </c>
      <c r="B4" s="12" t="s">
        <v>5</v>
      </c>
      <c r="C4" s="12" t="s">
        <v>5</v>
      </c>
      <c r="D4" s="12" t="s">
        <v>5</v>
      </c>
    </row>
    <row r="5">
      <c r="A5" s="11" t="s">
        <v>94</v>
      </c>
      <c r="B5" s="11" t="s">
        <v>5</v>
      </c>
      <c r="C5" s="11" t="s">
        <v>5</v>
      </c>
      <c r="D5" s="11" t="s">
        <v>5</v>
      </c>
    </row>
    <row r="6">
      <c r="A6" s="12" t="s">
        <v>95</v>
      </c>
      <c r="B6" s="12" t="s">
        <v>5</v>
      </c>
      <c r="C6" s="12" t="s">
        <v>5</v>
      </c>
      <c r="D6" s="12" t="s">
        <v>5</v>
      </c>
    </row>
    <row r="7">
      <c r="A7" s="11" t="s">
        <v>96</v>
      </c>
      <c r="B7" s="11" t="s">
        <v>5</v>
      </c>
      <c r="C7" s="11" t="s">
        <v>5</v>
      </c>
      <c r="D7" s="11" t="s">
        <v>5</v>
      </c>
    </row>
    <row r="8">
      <c r="A8" s="12" t="s">
        <v>97</v>
      </c>
      <c r="B8" s="12" t="s">
        <v>5</v>
      </c>
      <c r="C8" s="12" t="s">
        <v>240</v>
      </c>
      <c r="D8" s="12" t="s">
        <v>5</v>
      </c>
    </row>
    <row r="9">
      <c r="A9" s="11" t="s">
        <v>98</v>
      </c>
      <c r="B9" s="11" t="s">
        <v>5</v>
      </c>
      <c r="C9" s="11" t="s">
        <v>240</v>
      </c>
      <c r="D9" s="11" t="s">
        <v>5</v>
      </c>
    </row>
    <row r="10">
      <c r="A10" s="12" t="s">
        <v>99</v>
      </c>
      <c r="B10" s="12" t="s">
        <v>5</v>
      </c>
      <c r="C10" s="12" t="s">
        <v>239</v>
      </c>
      <c r="D10" s="12" t="s">
        <v>5</v>
      </c>
    </row>
    <row r="11">
      <c r="A11" s="11" t="s">
        <v>100</v>
      </c>
      <c r="B11" s="11" t="s">
        <v>5</v>
      </c>
      <c r="C11" s="11" t="s">
        <v>240</v>
      </c>
      <c r="D11" s="11" t="s">
        <v>5</v>
      </c>
    </row>
    <row r="12">
      <c r="A12" s="12" t="s">
        <v>101</v>
      </c>
      <c r="B12" s="12" t="s">
        <v>5</v>
      </c>
      <c r="C12" s="12" t="s">
        <v>239</v>
      </c>
      <c r="D12" s="12" t="s">
        <v>5</v>
      </c>
    </row>
    <row r="13">
      <c r="A13" s="11" t="s">
        <v>102</v>
      </c>
      <c r="B13" s="11" t="s">
        <v>5</v>
      </c>
      <c r="C13" s="11" t="s">
        <v>240</v>
      </c>
      <c r="D13" s="11" t="s">
        <v>5</v>
      </c>
    </row>
    <row r="14">
      <c r="A14" s="12" t="s">
        <v>262</v>
      </c>
      <c r="B14" s="12" t="s">
        <v>5</v>
      </c>
      <c r="C14" s="12" t="s">
        <v>239</v>
      </c>
      <c r="D14" s="12" t="s">
        <v>5</v>
      </c>
    </row>
    <row r="15">
      <c r="A15" s="11" t="s">
        <v>263</v>
      </c>
      <c r="B15" s="11" t="s">
        <v>5</v>
      </c>
      <c r="C15" s="11" t="s">
        <v>239</v>
      </c>
      <c r="D15" s="11" t="s">
        <v>5</v>
      </c>
    </row>
    <row r="16">
      <c r="A16" s="12" t="s">
        <v>264</v>
      </c>
      <c r="B16" s="12" t="s">
        <v>5</v>
      </c>
      <c r="C16" s="12" t="s">
        <v>239</v>
      </c>
      <c r="D16" s="12" t="s">
        <v>5</v>
      </c>
    </row>
    <row r="17">
      <c r="A17" s="11" t="s">
        <v>265</v>
      </c>
      <c r="B17" s="11" t="s">
        <v>5</v>
      </c>
      <c r="C17" s="11" t="s">
        <v>243</v>
      </c>
      <c r="D17" s="11" t="s">
        <v>5</v>
      </c>
    </row>
    <row r="18">
      <c r="A18" s="12" t="s">
        <v>266</v>
      </c>
      <c r="B18" s="12" t="s">
        <v>5</v>
      </c>
      <c r="C18" s="12" t="s">
        <v>242</v>
      </c>
      <c r="D18" s="12" t="s">
        <v>5</v>
      </c>
    </row>
  </sheetData>
  <mergeCells count="1">
    <mergeCell ref="A1:D1"/>
  </mergeCells>
  <dataValidations>
    <dataValidation type="list" allowBlank="1" sqref="D3:D18">
      <formula1>"Bouteille,Boîte,Casier,Kg,L,Paquet,Pièce,Sachet"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13" t="s">
        <v>103</v>
      </c>
    </row>
    <row r="2">
      <c r="A2" s="14" t="s">
        <v>104</v>
      </c>
      <c r="B2" s="14" t="s">
        <v>105</v>
      </c>
      <c r="C2" s="14" t="s">
        <v>106</v>
      </c>
    </row>
    <row r="3">
      <c r="A3" s="15" t="s">
        <v>107</v>
      </c>
      <c r="B3" s="15" t="s">
        <v>108</v>
      </c>
      <c r="C3" s="16" t="s">
        <v>109</v>
      </c>
    </row>
    <row r="4">
      <c r="A4" s="17" t="s">
        <v>110</v>
      </c>
      <c r="B4" s="17" t="s">
        <v>108</v>
      </c>
      <c r="C4" s="18" t="s">
        <v>111</v>
      </c>
    </row>
    <row r="5">
      <c r="A5" s="15" t="s">
        <v>112</v>
      </c>
      <c r="B5" s="15" t="s">
        <v>113</v>
      </c>
      <c r="C5" s="16" t="s">
        <v>114</v>
      </c>
    </row>
    <row r="6">
      <c r="A6" s="17" t="s">
        <v>115</v>
      </c>
      <c r="B6" s="17" t="s">
        <v>113</v>
      </c>
      <c r="C6" s="18" t="s">
        <v>116</v>
      </c>
    </row>
    <row r="7">
      <c r="A7" s="15" t="s">
        <v>117</v>
      </c>
      <c r="B7" s="15" t="s">
        <v>118</v>
      </c>
      <c r="C7" s="16" t="s">
        <v>119</v>
      </c>
    </row>
    <row r="8">
      <c r="A8" s="17" t="s">
        <v>120</v>
      </c>
      <c r="B8" s="17" t="s">
        <v>118</v>
      </c>
      <c r="C8" s="18" t="s">
        <v>121</v>
      </c>
    </row>
    <row r="9">
      <c r="A9" s="15" t="s">
        <v>122</v>
      </c>
      <c r="B9" s="15" t="s">
        <v>123</v>
      </c>
      <c r="C9" s="16" t="s">
        <v>124</v>
      </c>
    </row>
    <row r="10">
      <c r="A10" s="17" t="s">
        <v>125</v>
      </c>
      <c r="B10" s="17" t="s">
        <v>123</v>
      </c>
      <c r="C10" s="18" t="s">
        <v>126</v>
      </c>
    </row>
    <row r="11">
      <c r="A11" s="15" t="s">
        <v>127</v>
      </c>
      <c r="B11" s="15" t="s">
        <v>128</v>
      </c>
      <c r="C11" s="16" t="s">
        <v>129</v>
      </c>
    </row>
    <row r="12">
      <c r="A12" s="17" t="s">
        <v>130</v>
      </c>
      <c r="B12" s="17" t="s">
        <v>128</v>
      </c>
      <c r="C12" s="18" t="s">
        <v>131</v>
      </c>
    </row>
    <row r="13">
      <c r="A13" s="15" t="s">
        <v>132</v>
      </c>
      <c r="B13" s="15" t="s">
        <v>133</v>
      </c>
      <c r="C13" s="15" t="s">
        <v>5</v>
      </c>
    </row>
    <row r="14">
      <c r="A14" s="17" t="s">
        <v>134</v>
      </c>
      <c r="B14" s="17" t="s">
        <v>133</v>
      </c>
      <c r="C14" s="17" t="s">
        <v>5</v>
      </c>
    </row>
    <row r="15">
      <c r="A15" s="82"/>
      <c r="B15" s="82"/>
      <c r="C15" s="82"/>
    </row>
    <row r="16">
      <c r="A16" s="83"/>
      <c r="B16" s="83"/>
      <c r="C16" s="83"/>
    </row>
    <row r="17">
      <c r="A17" s="82"/>
      <c r="B17" s="82"/>
      <c r="C17" s="82"/>
    </row>
    <row r="18">
      <c r="A18" s="83"/>
      <c r="B18" s="83"/>
      <c r="C18" s="83"/>
    </row>
    <row r="19">
      <c r="A19" s="82"/>
      <c r="B19" s="82"/>
      <c r="C19" s="82"/>
    </row>
    <row r="20">
      <c r="A20" s="83"/>
      <c r="B20" s="83"/>
      <c r="C20" s="83"/>
    </row>
    <row r="21">
      <c r="A21" s="82"/>
      <c r="B21" s="82"/>
      <c r="C21" s="82"/>
    </row>
    <row r="22">
      <c r="A22" s="83"/>
      <c r="B22" s="83"/>
      <c r="C22" s="83"/>
    </row>
    <row r="23">
      <c r="A23" s="82"/>
      <c r="B23" s="82"/>
      <c r="C23" s="82"/>
    </row>
    <row r="24">
      <c r="A24" s="83"/>
      <c r="B24" s="83"/>
      <c r="C24" s="83"/>
    </row>
    <row r="25">
      <c r="A25" s="82"/>
      <c r="B25" s="82"/>
      <c r="C25" s="82"/>
    </row>
    <row r="26">
      <c r="A26" s="83"/>
      <c r="B26" s="83"/>
      <c r="C26" s="83"/>
    </row>
    <row r="27">
      <c r="A27" s="82"/>
      <c r="B27" s="82"/>
      <c r="C27" s="82"/>
    </row>
    <row r="28">
      <c r="A28" s="83"/>
      <c r="B28" s="83"/>
      <c r="C28" s="83"/>
    </row>
    <row r="29">
      <c r="A29" s="82"/>
      <c r="B29" s="82"/>
      <c r="C29" s="82"/>
    </row>
    <row r="30">
      <c r="A30" s="83"/>
      <c r="B30" s="83"/>
      <c r="C30" s="83"/>
    </row>
    <row r="31">
      <c r="A31" s="82"/>
      <c r="B31" s="82"/>
      <c r="C31" s="82"/>
    </row>
    <row r="32">
      <c r="A32" s="83"/>
      <c r="B32" s="83"/>
      <c r="C32" s="83"/>
    </row>
  </sheetData>
  <mergeCells count="1">
    <mergeCell ref="A1:C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97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4" t="s">
        <v>7</v>
      </c>
      <c r="B4" s="4" t="s">
        <v>5</v>
      </c>
      <c r="C4" s="4" t="s">
        <v>6</v>
      </c>
    </row>
    <row r="5">
      <c r="A5" s="3" t="s">
        <v>8</v>
      </c>
      <c r="B5" s="3" t="s">
        <v>5</v>
      </c>
      <c r="C5" s="3" t="s">
        <v>6</v>
      </c>
    </row>
    <row r="6">
      <c r="A6" s="4" t="s">
        <v>9</v>
      </c>
      <c r="B6" s="4" t="s">
        <v>5</v>
      </c>
      <c r="C6" s="4" t="s">
        <v>6</v>
      </c>
    </row>
    <row r="7">
      <c r="A7" s="3" t="s">
        <v>10</v>
      </c>
      <c r="B7" s="3" t="s">
        <v>5</v>
      </c>
      <c r="C7" s="3" t="s">
        <v>6</v>
      </c>
    </row>
    <row r="8">
      <c r="A8" s="4" t="s">
        <v>11</v>
      </c>
      <c r="B8" s="4" t="s">
        <v>5</v>
      </c>
      <c r="C8" s="4" t="s">
        <v>6</v>
      </c>
    </row>
    <row r="9">
      <c r="A9" s="3" t="s">
        <v>12</v>
      </c>
      <c r="B9" s="3" t="s">
        <v>5</v>
      </c>
      <c r="C9" s="3" t="s">
        <v>6</v>
      </c>
    </row>
    <row r="10">
      <c r="A10" s="4" t="s">
        <v>13</v>
      </c>
      <c r="B10" s="4" t="s">
        <v>5</v>
      </c>
      <c r="C10" s="4" t="s">
        <v>6</v>
      </c>
    </row>
    <row r="11">
      <c r="A11" s="3" t="s">
        <v>14</v>
      </c>
      <c r="B11" s="3" t="s">
        <v>5</v>
      </c>
      <c r="C11" s="3" t="s">
        <v>6</v>
      </c>
    </row>
    <row r="12">
      <c r="A12" s="4" t="s">
        <v>15</v>
      </c>
      <c r="B12" s="4" t="s">
        <v>5</v>
      </c>
      <c r="C12" s="4" t="s">
        <v>6</v>
      </c>
    </row>
    <row r="13">
      <c r="A13" s="3" t="s">
        <v>16</v>
      </c>
      <c r="B13" s="3" t="s">
        <v>5</v>
      </c>
      <c r="C13" s="3" t="s">
        <v>6</v>
      </c>
    </row>
    <row r="14">
      <c r="A14" s="4" t="s">
        <v>17</v>
      </c>
      <c r="B14" s="4" t="s">
        <v>5</v>
      </c>
      <c r="C14" s="4" t="s">
        <v>6</v>
      </c>
    </row>
    <row r="15">
      <c r="A15" s="3" t="s">
        <v>18</v>
      </c>
      <c r="B15" s="3" t="s">
        <v>5</v>
      </c>
      <c r="C15" s="3" t="s">
        <v>6</v>
      </c>
    </row>
  </sheetData>
  <mergeCells count="1">
    <mergeCell ref="A1:C1"/>
  </mergeCells>
  <dataValidations>
    <dataValidation type="list" allowBlank="1" sqref="C3:C15">
      <formula1>"Bouteille,Boîte,Casier,Kg,L,Paquet,Pièce,Sachet"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4A6E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1.13"/>
  </cols>
  <sheetData>
    <row r="1">
      <c r="A1" s="84" t="s">
        <v>267</v>
      </c>
    </row>
    <row r="2">
      <c r="A2" s="85" t="s">
        <v>5</v>
      </c>
      <c r="B2" s="85" t="s">
        <v>5</v>
      </c>
    </row>
    <row r="3">
      <c r="A3" s="86" t="s">
        <v>268</v>
      </c>
    </row>
    <row r="4">
      <c r="A4" s="87" t="s">
        <v>269</v>
      </c>
      <c r="B4" s="87" t="s">
        <v>270</v>
      </c>
    </row>
    <row r="5">
      <c r="A5" s="25" t="s">
        <v>271</v>
      </c>
      <c r="B5" s="25" t="s">
        <v>272</v>
      </c>
    </row>
    <row r="6">
      <c r="A6" s="85" t="s">
        <v>5</v>
      </c>
      <c r="B6" s="85" t="s">
        <v>5</v>
      </c>
    </row>
    <row r="7">
      <c r="A7" s="86" t="s">
        <v>273</v>
      </c>
    </row>
    <row r="8">
      <c r="A8" s="85" t="s">
        <v>216</v>
      </c>
      <c r="B8" s="85" t="s">
        <v>274</v>
      </c>
    </row>
    <row r="9">
      <c r="A9" s="85" t="s">
        <v>275</v>
      </c>
      <c r="B9" s="85" t="s">
        <v>276</v>
      </c>
    </row>
    <row r="10">
      <c r="A10" s="85" t="s">
        <v>277</v>
      </c>
      <c r="B10" s="85" t="s">
        <v>278</v>
      </c>
    </row>
    <row r="11">
      <c r="A11" s="85" t="s">
        <v>279</v>
      </c>
      <c r="B11" s="85" t="s">
        <v>280</v>
      </c>
    </row>
    <row r="12">
      <c r="A12" s="85" t="s">
        <v>281</v>
      </c>
      <c r="B12" s="85" t="s">
        <v>282</v>
      </c>
    </row>
    <row r="13">
      <c r="A13" s="85" t="s">
        <v>283</v>
      </c>
      <c r="B13" s="85" t="s">
        <v>284</v>
      </c>
    </row>
    <row r="14">
      <c r="A14" s="85" t="s">
        <v>285</v>
      </c>
      <c r="B14" s="85" t="s">
        <v>286</v>
      </c>
    </row>
    <row r="15">
      <c r="A15" s="85" t="s">
        <v>287</v>
      </c>
      <c r="B15" s="85" t="s">
        <v>288</v>
      </c>
    </row>
    <row r="16">
      <c r="A16" s="85" t="s">
        <v>289</v>
      </c>
      <c r="B16" s="85" t="s">
        <v>290</v>
      </c>
    </row>
    <row r="17">
      <c r="A17" s="85" t="s">
        <v>291</v>
      </c>
      <c r="B17" s="85" t="s">
        <v>292</v>
      </c>
    </row>
    <row r="18">
      <c r="A18" s="85" t="s">
        <v>293</v>
      </c>
      <c r="B18" s="85" t="s">
        <v>294</v>
      </c>
    </row>
    <row r="19">
      <c r="A19" s="85" t="s">
        <v>295</v>
      </c>
      <c r="B19" s="85" t="s">
        <v>296</v>
      </c>
    </row>
    <row r="20">
      <c r="A20" s="85" t="s">
        <v>5</v>
      </c>
      <c r="B20" s="85" t="s">
        <v>5</v>
      </c>
    </row>
    <row r="21">
      <c r="A21" s="86" t="s">
        <v>297</v>
      </c>
    </row>
    <row r="22">
      <c r="A22" s="88" t="s">
        <v>298</v>
      </c>
      <c r="B22" s="85" t="s">
        <v>299</v>
      </c>
    </row>
    <row r="23">
      <c r="A23" s="88" t="s">
        <v>300</v>
      </c>
      <c r="B23" s="85" t="s">
        <v>301</v>
      </c>
    </row>
    <row r="24">
      <c r="A24" s="88" t="s">
        <v>302</v>
      </c>
      <c r="B24" s="85" t="s">
        <v>303</v>
      </c>
    </row>
    <row r="25">
      <c r="A25" s="88" t="s">
        <v>304</v>
      </c>
      <c r="B25" s="85" t="s">
        <v>305</v>
      </c>
    </row>
    <row r="26">
      <c r="A26" s="88" t="s">
        <v>306</v>
      </c>
      <c r="B26" s="85" t="s">
        <v>307</v>
      </c>
    </row>
    <row r="27">
      <c r="A27" s="88" t="s">
        <v>308</v>
      </c>
      <c r="B27" s="85" t="s">
        <v>309</v>
      </c>
    </row>
    <row r="28">
      <c r="A28" s="88" t="s">
        <v>310</v>
      </c>
      <c r="B28" s="85" t="s">
        <v>311</v>
      </c>
    </row>
  </sheetData>
  <mergeCells count="4">
    <mergeCell ref="A1:B1"/>
    <mergeCell ref="A3:B3"/>
    <mergeCell ref="A7:B7"/>
    <mergeCell ref="A21:B2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18.88"/>
  </cols>
  <sheetData>
    <row r="1">
      <c r="A1" s="84" t="s">
        <v>312</v>
      </c>
    </row>
    <row r="2">
      <c r="A2" s="42" t="s">
        <v>313</v>
      </c>
      <c r="B2" s="42" t="s">
        <v>314</v>
      </c>
      <c r="C2" s="42" t="s">
        <v>315</v>
      </c>
    </row>
    <row r="3">
      <c r="A3" s="25" t="s">
        <v>316</v>
      </c>
      <c r="B3" s="89">
        <f>'Suivi Journalier'!B37</f>
        <v>92866</v>
      </c>
      <c r="C3" s="90" t="str">
        <f>IFERROR(B3/B7,"-")</f>
        <v>#ERROR!</v>
      </c>
    </row>
    <row r="4">
      <c r="A4" s="25" t="s">
        <v>317</v>
      </c>
      <c r="B4" s="89">
        <f>'Suivi Journalier'!C37</f>
        <v>72524.5</v>
      </c>
      <c r="C4" s="90" t="str">
        <f>IFERROR(B4/B7,"-")</f>
        <v>#ERROR!</v>
      </c>
    </row>
    <row r="5">
      <c r="A5" s="25" t="s">
        <v>318</v>
      </c>
      <c r="B5" s="89">
        <f>'Suivi Journalier'!D37</f>
        <v>4265</v>
      </c>
      <c r="C5" s="90" t="str">
        <f>IFERROR(B5/B7,"-")</f>
        <v>#ERROR!</v>
      </c>
    </row>
    <row r="6">
      <c r="B6" s="91"/>
      <c r="C6" s="92"/>
    </row>
    <row r="7">
      <c r="A7" s="93" t="s">
        <v>319</v>
      </c>
      <c r="B7" s="94">
        <f>'Suivi Journalier'!E37</f>
        <v>169655.5</v>
      </c>
      <c r="C7" s="95">
        <v>1.0</v>
      </c>
    </row>
    <row r="8">
      <c r="A8" s="33" t="s">
        <v>320</v>
      </c>
      <c r="B8" s="96">
        <f>'Suivi Journalier'!F37</f>
        <v>61032</v>
      </c>
      <c r="C8" s="97" t="str">
        <f>IFERROR(B8/B7,"-")</f>
        <v>#ERROR!</v>
      </c>
    </row>
    <row r="9">
      <c r="A9" s="33" t="s">
        <v>321</v>
      </c>
      <c r="B9" s="96">
        <f>'Suivi Journalier'!H37</f>
        <v>1342</v>
      </c>
      <c r="C9" s="97" t="str">
        <f>IFERROR(B9/B7,"-")</f>
        <v>#ERROR!</v>
      </c>
    </row>
    <row r="10">
      <c r="A10" s="33" t="s">
        <v>322</v>
      </c>
      <c r="B10" s="96">
        <f>'Suivi Journalier'!J37</f>
        <v>778.7</v>
      </c>
      <c r="C10" s="97" t="str">
        <f>IFERROR(B10/B7,"-")</f>
        <v>#ERROR!</v>
      </c>
    </row>
    <row r="11">
      <c r="A11" s="98" t="s">
        <v>323</v>
      </c>
      <c r="B11" s="99">
        <f>'Suivi Journalier'!L37</f>
        <v>63152.7</v>
      </c>
      <c r="C11" s="100" t="str">
        <f>IFERROR(B11/B7,"-")</f>
        <v>#ERROR!</v>
      </c>
    </row>
    <row r="12">
      <c r="A12" s="7" t="s">
        <v>324</v>
      </c>
      <c r="B12" s="101">
        <f>'Suivi Journalier'!M37</f>
        <v>13100</v>
      </c>
      <c r="C12" s="102" t="str">
        <f>IFERROR(B12/B7,"-")</f>
        <v>#ERROR!</v>
      </c>
    </row>
    <row r="13">
      <c r="A13" s="7" t="s">
        <v>325</v>
      </c>
      <c r="B13" s="101">
        <f>'Suivi Journalier'!O37</f>
        <v>8900</v>
      </c>
      <c r="C13" s="102" t="str">
        <f>IFERROR(B13/B7,"-")</f>
        <v>#ERROR!</v>
      </c>
    </row>
    <row r="14">
      <c r="A14" s="103" t="s">
        <v>326</v>
      </c>
      <c r="B14" s="104">
        <f>'Suivi Journalier'!Q37</f>
        <v>22000</v>
      </c>
      <c r="C14" s="105" t="str">
        <f>IFERROR(B14/B7,"-")</f>
        <v>#ERROR!</v>
      </c>
    </row>
    <row r="15">
      <c r="A15" s="106" t="s">
        <v>327</v>
      </c>
      <c r="B15" s="107">
        <f>'Suivi Journalier'!R37</f>
        <v>84502.8</v>
      </c>
      <c r="C15" s="108" t="str">
        <f>IFERROR(B15/B7,"-")</f>
        <v>#ERROR!</v>
      </c>
    </row>
  </sheetData>
  <mergeCells count="1">
    <mergeCell ref="A1:C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23" t="s">
        <v>141</v>
      </c>
    </row>
    <row r="2">
      <c r="A2" s="24" t="s">
        <v>1</v>
      </c>
      <c r="B2" s="24" t="s">
        <v>2</v>
      </c>
      <c r="C2" s="24" t="s">
        <v>328</v>
      </c>
      <c r="D2" s="24" t="s">
        <v>3</v>
      </c>
    </row>
    <row r="3">
      <c r="A3" s="25" t="s">
        <v>142</v>
      </c>
      <c r="B3" s="25" t="s">
        <v>5</v>
      </c>
      <c r="C3" s="25" t="s">
        <v>5</v>
      </c>
      <c r="D3" s="25" t="s">
        <v>5</v>
      </c>
    </row>
    <row r="4">
      <c r="A4" s="26" t="s">
        <v>143</v>
      </c>
      <c r="B4" s="26" t="s">
        <v>5</v>
      </c>
      <c r="C4" s="26" t="s">
        <v>5</v>
      </c>
      <c r="D4" s="26" t="s">
        <v>5</v>
      </c>
    </row>
    <row r="5">
      <c r="A5" s="25" t="s">
        <v>144</v>
      </c>
      <c r="B5" s="25" t="s">
        <v>5</v>
      </c>
      <c r="C5" s="25" t="s">
        <v>5</v>
      </c>
      <c r="D5" s="25" t="s">
        <v>5</v>
      </c>
    </row>
    <row r="6">
      <c r="A6" s="26" t="s">
        <v>145</v>
      </c>
      <c r="B6" s="26" t="s">
        <v>5</v>
      </c>
      <c r="C6" s="26" t="s">
        <v>5</v>
      </c>
      <c r="D6" s="26" t="s">
        <v>5</v>
      </c>
    </row>
    <row r="7">
      <c r="A7" s="25" t="s">
        <v>146</v>
      </c>
      <c r="B7" s="25" t="s">
        <v>5</v>
      </c>
      <c r="C7" s="25" t="s">
        <v>5</v>
      </c>
      <c r="D7" s="25" t="s">
        <v>5</v>
      </c>
    </row>
    <row r="8">
      <c r="A8" s="26" t="s">
        <v>147</v>
      </c>
      <c r="B8" s="26" t="s">
        <v>5</v>
      </c>
      <c r="C8" s="26" t="s">
        <v>5</v>
      </c>
      <c r="D8" s="26" t="s">
        <v>5</v>
      </c>
    </row>
    <row r="9">
      <c r="A9" s="25" t="s">
        <v>148</v>
      </c>
      <c r="B9" s="25" t="s">
        <v>5</v>
      </c>
      <c r="C9" s="25" t="s">
        <v>5</v>
      </c>
      <c r="D9" s="25" t="s">
        <v>5</v>
      </c>
    </row>
    <row r="10">
      <c r="A10" s="26" t="s">
        <v>149</v>
      </c>
      <c r="B10" s="26" t="s">
        <v>5</v>
      </c>
      <c r="C10" s="26" t="s">
        <v>5</v>
      </c>
      <c r="D10" s="26" t="s">
        <v>5</v>
      </c>
    </row>
    <row r="11">
      <c r="A11" s="25" t="s">
        <v>150</v>
      </c>
      <c r="B11" s="25" t="s">
        <v>5</v>
      </c>
      <c r="C11" s="25" t="s">
        <v>5</v>
      </c>
      <c r="D11" s="25" t="s">
        <v>5</v>
      </c>
    </row>
    <row r="12">
      <c r="A12" s="26" t="s">
        <v>151</v>
      </c>
      <c r="B12" s="26" t="s">
        <v>5</v>
      </c>
      <c r="C12" s="26" t="s">
        <v>5</v>
      </c>
      <c r="D12" s="26" t="s">
        <v>5</v>
      </c>
    </row>
    <row r="13">
      <c r="A13" s="25" t="s">
        <v>152</v>
      </c>
      <c r="B13" s="25" t="s">
        <v>5</v>
      </c>
      <c r="C13" s="25" t="s">
        <v>5</v>
      </c>
      <c r="D13" s="25" t="s">
        <v>5</v>
      </c>
    </row>
    <row r="14">
      <c r="A14" s="26" t="s">
        <v>153</v>
      </c>
      <c r="B14" s="26" t="s">
        <v>5</v>
      </c>
      <c r="C14" s="26" t="s">
        <v>5</v>
      </c>
      <c r="D14" s="26" t="s">
        <v>5</v>
      </c>
    </row>
    <row r="15">
      <c r="A15" s="25" t="s">
        <v>154</v>
      </c>
      <c r="B15" s="25" t="s">
        <v>5</v>
      </c>
      <c r="C15" s="25" t="s">
        <v>5</v>
      </c>
      <c r="D15" s="25" t="s">
        <v>5</v>
      </c>
    </row>
    <row r="16">
      <c r="A16" s="26" t="s">
        <v>155</v>
      </c>
      <c r="B16" s="26" t="s">
        <v>5</v>
      </c>
      <c r="C16" s="26" t="s">
        <v>5</v>
      </c>
      <c r="D16" s="26" t="s">
        <v>5</v>
      </c>
    </row>
    <row r="17">
      <c r="A17" s="25" t="s">
        <v>156</v>
      </c>
      <c r="B17" s="25" t="s">
        <v>5</v>
      </c>
      <c r="C17" s="25" t="s">
        <v>5</v>
      </c>
      <c r="D17" s="25" t="s">
        <v>5</v>
      </c>
    </row>
    <row r="18">
      <c r="A18" s="26" t="s">
        <v>157</v>
      </c>
      <c r="B18" s="26" t="s">
        <v>5</v>
      </c>
      <c r="C18" s="26" t="s">
        <v>5</v>
      </c>
      <c r="D18" s="26" t="s">
        <v>5</v>
      </c>
    </row>
    <row r="19">
      <c r="A19" s="25" t="s">
        <v>158</v>
      </c>
      <c r="B19" s="25" t="s">
        <v>5</v>
      </c>
      <c r="C19" s="25" t="s">
        <v>5</v>
      </c>
      <c r="D19" s="25" t="s">
        <v>5</v>
      </c>
    </row>
    <row r="20">
      <c r="A20" s="26" t="s">
        <v>159</v>
      </c>
      <c r="B20" s="26" t="s">
        <v>5</v>
      </c>
      <c r="C20" s="26" t="s">
        <v>5</v>
      </c>
      <c r="D20" s="26" t="s">
        <v>5</v>
      </c>
    </row>
    <row r="21">
      <c r="A21" s="25" t="s">
        <v>160</v>
      </c>
      <c r="B21" s="25" t="s">
        <v>5</v>
      </c>
      <c r="C21" s="25" t="s">
        <v>5</v>
      </c>
      <c r="D21" s="25" t="s">
        <v>5</v>
      </c>
    </row>
    <row r="22">
      <c r="A22" s="26" t="s">
        <v>161</v>
      </c>
      <c r="B22" s="26" t="s">
        <v>5</v>
      </c>
      <c r="C22" s="26" t="s">
        <v>5</v>
      </c>
      <c r="D22" s="26" t="s">
        <v>5</v>
      </c>
    </row>
    <row r="23">
      <c r="A23" s="25" t="s">
        <v>162</v>
      </c>
      <c r="B23" s="25" t="s">
        <v>5</v>
      </c>
      <c r="C23" s="25" t="s">
        <v>5</v>
      </c>
      <c r="D23" s="25" t="s">
        <v>5</v>
      </c>
    </row>
    <row r="24">
      <c r="A24" s="26" t="s">
        <v>163</v>
      </c>
      <c r="B24" s="26" t="s">
        <v>5</v>
      </c>
      <c r="C24" s="26" t="s">
        <v>5</v>
      </c>
      <c r="D24" s="26" t="s">
        <v>5</v>
      </c>
    </row>
    <row r="25">
      <c r="A25" s="25" t="s">
        <v>164</v>
      </c>
      <c r="B25" s="25" t="s">
        <v>5</v>
      </c>
      <c r="C25" s="25" t="s">
        <v>5</v>
      </c>
      <c r="D25" s="25" t="s">
        <v>5</v>
      </c>
    </row>
    <row r="26">
      <c r="A26" s="26" t="s">
        <v>165</v>
      </c>
      <c r="B26" s="26" t="s">
        <v>5</v>
      </c>
      <c r="C26" s="26" t="s">
        <v>5</v>
      </c>
      <c r="D26" s="26" t="s">
        <v>5</v>
      </c>
    </row>
    <row r="27">
      <c r="A27" s="25" t="s">
        <v>166</v>
      </c>
      <c r="B27" s="25" t="s">
        <v>5</v>
      </c>
      <c r="C27" s="25" t="s">
        <v>5</v>
      </c>
      <c r="D27" s="25" t="s">
        <v>5</v>
      </c>
    </row>
    <row r="28">
      <c r="A28" s="26" t="s">
        <v>167</v>
      </c>
      <c r="B28" s="26" t="s">
        <v>5</v>
      </c>
      <c r="C28" s="26" t="s">
        <v>5</v>
      </c>
      <c r="D28" s="26" t="s">
        <v>5</v>
      </c>
    </row>
    <row r="29">
      <c r="A29" s="25" t="s">
        <v>168</v>
      </c>
      <c r="B29" s="25" t="s">
        <v>5</v>
      </c>
      <c r="C29" s="25" t="s">
        <v>5</v>
      </c>
      <c r="D29" s="25" t="s">
        <v>5</v>
      </c>
    </row>
    <row r="30">
      <c r="A30" s="26" t="s">
        <v>169</v>
      </c>
      <c r="B30" s="26" t="s">
        <v>5</v>
      </c>
      <c r="C30" s="26" t="s">
        <v>5</v>
      </c>
      <c r="D30" s="26" t="s">
        <v>5</v>
      </c>
    </row>
    <row r="31">
      <c r="A31" s="25" t="s">
        <v>170</v>
      </c>
      <c r="B31" s="25" t="s">
        <v>5</v>
      </c>
      <c r="C31" s="25" t="s">
        <v>5</v>
      </c>
      <c r="D31" s="25" t="s">
        <v>5</v>
      </c>
    </row>
    <row r="32">
      <c r="A32" s="26" t="s">
        <v>171</v>
      </c>
      <c r="B32" s="26" t="s">
        <v>5</v>
      </c>
      <c r="C32" s="26" t="s">
        <v>5</v>
      </c>
      <c r="D32" s="26" t="s">
        <v>5</v>
      </c>
    </row>
    <row r="33">
      <c r="A33" s="25" t="s">
        <v>172</v>
      </c>
      <c r="B33" s="25" t="s">
        <v>5</v>
      </c>
      <c r="C33" s="25" t="s">
        <v>5</v>
      </c>
      <c r="D33" s="25" t="s">
        <v>5</v>
      </c>
    </row>
    <row r="34">
      <c r="A34" s="26" t="s">
        <v>173</v>
      </c>
      <c r="B34" s="26" t="s">
        <v>5</v>
      </c>
      <c r="C34" s="26" t="s">
        <v>5</v>
      </c>
      <c r="D34" s="26" t="s">
        <v>5</v>
      </c>
    </row>
    <row r="35">
      <c r="A35" s="25" t="s">
        <v>174</v>
      </c>
      <c r="B35" s="25" t="s">
        <v>5</v>
      </c>
      <c r="C35" s="25" t="s">
        <v>5</v>
      </c>
      <c r="D35" s="25" t="s">
        <v>5</v>
      </c>
    </row>
    <row r="36">
      <c r="A36" s="26" t="s">
        <v>175</v>
      </c>
      <c r="B36" s="26" t="s">
        <v>5</v>
      </c>
      <c r="C36" s="26" t="s">
        <v>5</v>
      </c>
      <c r="D36" s="26" t="s">
        <v>5</v>
      </c>
    </row>
    <row r="37">
      <c r="A37" s="25" t="s">
        <v>176</v>
      </c>
      <c r="B37" s="25" t="s">
        <v>5</v>
      </c>
      <c r="C37" s="25" t="s">
        <v>5</v>
      </c>
      <c r="D37" s="25" t="s">
        <v>5</v>
      </c>
    </row>
    <row r="38">
      <c r="A38" s="26" t="s">
        <v>177</v>
      </c>
      <c r="B38" s="26" t="s">
        <v>5</v>
      </c>
      <c r="C38" s="26" t="s">
        <v>5</v>
      </c>
      <c r="D38" s="26" t="s">
        <v>5</v>
      </c>
    </row>
    <row r="39">
      <c r="A39" s="25" t="s">
        <v>178</v>
      </c>
      <c r="B39" s="25" t="s">
        <v>5</v>
      </c>
      <c r="C39" s="25" t="s">
        <v>5</v>
      </c>
      <c r="D39" s="25" t="s">
        <v>5</v>
      </c>
    </row>
    <row r="40">
      <c r="A40" s="26" t="s">
        <v>179</v>
      </c>
      <c r="B40" s="26" t="s">
        <v>5</v>
      </c>
      <c r="C40" s="26" t="s">
        <v>5</v>
      </c>
      <c r="D40" s="26" t="s">
        <v>5</v>
      </c>
    </row>
    <row r="41">
      <c r="A41" s="25" t="s">
        <v>180</v>
      </c>
      <c r="B41" s="25" t="s">
        <v>5</v>
      </c>
      <c r="C41" s="25" t="s">
        <v>5</v>
      </c>
      <c r="D41" s="25" t="s">
        <v>5</v>
      </c>
    </row>
    <row r="42">
      <c r="A42" s="26" t="s">
        <v>181</v>
      </c>
      <c r="B42" s="26" t="s">
        <v>5</v>
      </c>
      <c r="C42" s="26" t="s">
        <v>5</v>
      </c>
      <c r="D42" s="26" t="s">
        <v>5</v>
      </c>
    </row>
    <row r="43">
      <c r="A43" s="25" t="s">
        <v>182</v>
      </c>
      <c r="B43" s="25" t="s">
        <v>5</v>
      </c>
      <c r="C43" s="25" t="s">
        <v>5</v>
      </c>
      <c r="D43" s="25" t="s">
        <v>5</v>
      </c>
    </row>
    <row r="44">
      <c r="A44" s="26" t="s">
        <v>183</v>
      </c>
      <c r="B44" s="26" t="s">
        <v>5</v>
      </c>
      <c r="C44" s="26" t="s">
        <v>5</v>
      </c>
      <c r="D44" s="26" t="s">
        <v>5</v>
      </c>
    </row>
    <row r="45">
      <c r="A45" s="25" t="s">
        <v>184</v>
      </c>
      <c r="B45" s="25" t="s">
        <v>5</v>
      </c>
      <c r="C45" s="25" t="s">
        <v>5</v>
      </c>
      <c r="D45" s="25" t="s">
        <v>5</v>
      </c>
    </row>
    <row r="46">
      <c r="A46" s="26" t="s">
        <v>185</v>
      </c>
      <c r="B46" s="26" t="s">
        <v>5</v>
      </c>
      <c r="C46" s="26" t="s">
        <v>5</v>
      </c>
      <c r="D46" s="26" t="s">
        <v>5</v>
      </c>
    </row>
    <row r="47">
      <c r="A47" s="25" t="s">
        <v>186</v>
      </c>
      <c r="B47" s="25" t="s">
        <v>5</v>
      </c>
      <c r="C47" s="25" t="s">
        <v>5</v>
      </c>
      <c r="D47" s="25" t="s">
        <v>5</v>
      </c>
    </row>
    <row r="48">
      <c r="A48" s="26" t="s">
        <v>187</v>
      </c>
      <c r="B48" s="26" t="s">
        <v>5</v>
      </c>
      <c r="C48" s="26" t="s">
        <v>5</v>
      </c>
      <c r="D48" s="26" t="s">
        <v>5</v>
      </c>
    </row>
    <row r="49">
      <c r="A49" s="25" t="s">
        <v>188</v>
      </c>
      <c r="B49" s="25" t="s">
        <v>5</v>
      </c>
      <c r="C49" s="25" t="s">
        <v>5</v>
      </c>
      <c r="D49" s="25" t="s">
        <v>5</v>
      </c>
    </row>
    <row r="50">
      <c r="A50" s="26" t="s">
        <v>189</v>
      </c>
      <c r="B50" s="26" t="s">
        <v>5</v>
      </c>
      <c r="C50" s="26" t="s">
        <v>5</v>
      </c>
      <c r="D50" s="26" t="s">
        <v>5</v>
      </c>
    </row>
  </sheetData>
  <mergeCells count="1">
    <mergeCell ref="A1:D1"/>
  </mergeCells>
  <dataValidations>
    <dataValidation type="list" allowBlank="1" sqref="D3:D50">
      <formula1>"Bouteille,Boîte,Casier,Kg,L,Paquet,Pièce,Sachet"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8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5" t="s">
        <v>19</v>
      </c>
    </row>
    <row r="2">
      <c r="A2" s="6" t="s">
        <v>1</v>
      </c>
      <c r="B2" s="6" t="s">
        <v>2</v>
      </c>
      <c r="C2" s="6" t="s">
        <v>328</v>
      </c>
      <c r="D2" s="6" t="s">
        <v>3</v>
      </c>
    </row>
    <row r="3">
      <c r="A3" s="7" t="s">
        <v>20</v>
      </c>
      <c r="B3" s="7" t="s">
        <v>5</v>
      </c>
      <c r="C3" s="109">
        <v>3.0</v>
      </c>
      <c r="D3" s="7" t="s">
        <v>238</v>
      </c>
    </row>
    <row r="4">
      <c r="A4" s="8" t="s">
        <v>21</v>
      </c>
      <c r="B4" s="8" t="s">
        <v>5</v>
      </c>
      <c r="C4" s="8" t="s">
        <v>5</v>
      </c>
      <c r="D4" s="8" t="s">
        <v>5</v>
      </c>
    </row>
    <row r="5">
      <c r="A5" s="7" t="s">
        <v>22</v>
      </c>
      <c r="B5" s="7" t="s">
        <v>5</v>
      </c>
      <c r="C5" s="109">
        <v>1.0</v>
      </c>
      <c r="D5" s="7" t="s">
        <v>239</v>
      </c>
    </row>
    <row r="6">
      <c r="A6" s="8" t="s">
        <v>23</v>
      </c>
      <c r="B6" s="8" t="s">
        <v>5</v>
      </c>
      <c r="C6" s="8" t="s">
        <v>5</v>
      </c>
      <c r="D6" s="8" t="s">
        <v>5</v>
      </c>
    </row>
    <row r="7">
      <c r="A7" s="7" t="s">
        <v>24</v>
      </c>
      <c r="B7" s="7" t="s">
        <v>5</v>
      </c>
      <c r="C7" s="7" t="s">
        <v>5</v>
      </c>
      <c r="D7" s="7" t="s">
        <v>5</v>
      </c>
    </row>
    <row r="8">
      <c r="A8" s="8" t="s">
        <v>25</v>
      </c>
      <c r="B8" s="8" t="s">
        <v>5</v>
      </c>
      <c r="C8" s="8" t="s">
        <v>5</v>
      </c>
      <c r="D8" s="8" t="s">
        <v>5</v>
      </c>
    </row>
    <row r="9">
      <c r="A9" s="7" t="s">
        <v>26</v>
      </c>
      <c r="B9" s="7" t="s">
        <v>5</v>
      </c>
      <c r="C9" s="7" t="s">
        <v>5</v>
      </c>
      <c r="D9" s="7" t="s">
        <v>5</v>
      </c>
    </row>
    <row r="10">
      <c r="A10" s="8" t="s">
        <v>27</v>
      </c>
      <c r="B10" s="8" t="s">
        <v>5</v>
      </c>
      <c r="C10" s="8" t="s">
        <v>5</v>
      </c>
      <c r="D10" s="8" t="s">
        <v>5</v>
      </c>
    </row>
    <row r="11">
      <c r="A11" s="7" t="s">
        <v>28</v>
      </c>
      <c r="B11" s="7" t="s">
        <v>5</v>
      </c>
      <c r="C11" s="7" t="s">
        <v>5</v>
      </c>
      <c r="D11" s="7" t="s">
        <v>240</v>
      </c>
    </row>
    <row r="12">
      <c r="A12" s="8" t="s">
        <v>29</v>
      </c>
      <c r="B12" s="8" t="s">
        <v>5</v>
      </c>
      <c r="C12" s="8" t="s">
        <v>5</v>
      </c>
      <c r="D12" s="8" t="s">
        <v>240</v>
      </c>
    </row>
    <row r="13">
      <c r="A13" s="7" t="s">
        <v>30</v>
      </c>
      <c r="B13" s="7" t="s">
        <v>5</v>
      </c>
      <c r="C13" s="7" t="s">
        <v>5</v>
      </c>
      <c r="D13" s="7" t="s">
        <v>241</v>
      </c>
    </row>
    <row r="14">
      <c r="A14" s="8" t="s">
        <v>31</v>
      </c>
      <c r="B14" s="8" t="s">
        <v>5</v>
      </c>
      <c r="C14" s="8" t="s">
        <v>5</v>
      </c>
      <c r="D14" s="8" t="s">
        <v>5</v>
      </c>
    </row>
    <row r="15">
      <c r="A15" s="7" t="s">
        <v>32</v>
      </c>
      <c r="B15" s="7" t="s">
        <v>5</v>
      </c>
      <c r="C15" s="7" t="s">
        <v>5</v>
      </c>
      <c r="D15" s="7" t="s">
        <v>5</v>
      </c>
    </row>
    <row r="16">
      <c r="A16" s="8" t="s">
        <v>33</v>
      </c>
      <c r="B16" s="8" t="s">
        <v>5</v>
      </c>
      <c r="C16" s="8" t="s">
        <v>5</v>
      </c>
      <c r="D16" s="8" t="s">
        <v>5</v>
      </c>
    </row>
    <row r="17">
      <c r="A17" s="7" t="s">
        <v>34</v>
      </c>
      <c r="B17" s="7" t="s">
        <v>5</v>
      </c>
      <c r="C17" s="7" t="s">
        <v>5</v>
      </c>
      <c r="D17" s="7" t="s">
        <v>240</v>
      </c>
    </row>
    <row r="18">
      <c r="A18" s="8" t="s">
        <v>35</v>
      </c>
      <c r="B18" s="8" t="s">
        <v>5</v>
      </c>
      <c r="C18" s="110">
        <v>1.0</v>
      </c>
      <c r="D18" s="8" t="s">
        <v>242</v>
      </c>
    </row>
    <row r="19">
      <c r="A19" s="7" t="s">
        <v>36</v>
      </c>
      <c r="B19" s="7" t="s">
        <v>5</v>
      </c>
      <c r="C19" s="7" t="s">
        <v>5</v>
      </c>
      <c r="D19" s="7" t="s">
        <v>5</v>
      </c>
    </row>
    <row r="20">
      <c r="A20" s="8" t="s">
        <v>37</v>
      </c>
      <c r="B20" s="8" t="s">
        <v>5</v>
      </c>
      <c r="C20" s="8" t="s">
        <v>5</v>
      </c>
      <c r="D20" s="8" t="s">
        <v>5</v>
      </c>
    </row>
    <row r="21">
      <c r="A21" s="7" t="s">
        <v>38</v>
      </c>
      <c r="B21" s="7" t="s">
        <v>5</v>
      </c>
      <c r="C21" s="7" t="s">
        <v>5</v>
      </c>
      <c r="D21" s="7" t="s">
        <v>5</v>
      </c>
    </row>
    <row r="22">
      <c r="A22" s="8" t="s">
        <v>39</v>
      </c>
      <c r="B22" s="8" t="s">
        <v>5</v>
      </c>
      <c r="C22" s="8" t="s">
        <v>5</v>
      </c>
      <c r="D22" s="8" t="s">
        <v>5</v>
      </c>
    </row>
    <row r="23">
      <c r="A23" s="7" t="s">
        <v>40</v>
      </c>
      <c r="B23" s="7" t="s">
        <v>5</v>
      </c>
      <c r="C23" s="7" t="s">
        <v>5</v>
      </c>
      <c r="D23" s="7" t="s">
        <v>5</v>
      </c>
    </row>
    <row r="24">
      <c r="A24" s="8" t="s">
        <v>41</v>
      </c>
      <c r="B24" s="8" t="s">
        <v>5</v>
      </c>
      <c r="C24" s="8" t="s">
        <v>5</v>
      </c>
      <c r="D24" s="8" t="s">
        <v>240</v>
      </c>
    </row>
    <row r="25">
      <c r="A25" s="7" t="s">
        <v>42</v>
      </c>
      <c r="B25" s="7" t="s">
        <v>5</v>
      </c>
      <c r="C25" s="7" t="s">
        <v>5</v>
      </c>
      <c r="D25" s="7" t="s">
        <v>5</v>
      </c>
    </row>
    <row r="26">
      <c r="A26" s="8" t="s">
        <v>43</v>
      </c>
      <c r="B26" s="8" t="s">
        <v>5</v>
      </c>
      <c r="C26" s="8" t="s">
        <v>5</v>
      </c>
      <c r="D26" s="8" t="s">
        <v>239</v>
      </c>
    </row>
    <row r="27">
      <c r="A27" s="7" t="s">
        <v>44</v>
      </c>
      <c r="B27" s="7" t="s">
        <v>5</v>
      </c>
      <c r="C27" s="109">
        <v>3.0</v>
      </c>
      <c r="D27" s="7" t="s">
        <v>243</v>
      </c>
    </row>
    <row r="28">
      <c r="A28" s="8" t="s">
        <v>45</v>
      </c>
      <c r="B28" s="8" t="s">
        <v>5</v>
      </c>
      <c r="C28" s="110">
        <v>1.0</v>
      </c>
      <c r="D28" s="8" t="s">
        <v>243</v>
      </c>
    </row>
    <row r="29">
      <c r="A29" s="7" t="s">
        <v>46</v>
      </c>
      <c r="B29" s="7" t="s">
        <v>5</v>
      </c>
      <c r="C29" s="109">
        <v>2.0</v>
      </c>
      <c r="D29" s="7" t="s">
        <v>243</v>
      </c>
    </row>
    <row r="30">
      <c r="A30" s="8" t="s">
        <v>47</v>
      </c>
      <c r="B30" s="8" t="s">
        <v>5</v>
      </c>
      <c r="C30" s="8" t="s">
        <v>5</v>
      </c>
      <c r="D30" s="8" t="s">
        <v>5</v>
      </c>
    </row>
    <row r="31">
      <c r="A31" s="7" t="s">
        <v>48</v>
      </c>
      <c r="B31" s="7" t="s">
        <v>5</v>
      </c>
      <c r="C31" s="7" t="s">
        <v>5</v>
      </c>
      <c r="D31" s="7" t="s">
        <v>5</v>
      </c>
    </row>
    <row r="32">
      <c r="A32" s="8" t="s">
        <v>49</v>
      </c>
      <c r="B32" s="8" t="s">
        <v>5</v>
      </c>
      <c r="C32" s="8" t="s">
        <v>5</v>
      </c>
      <c r="D32" s="8" t="s">
        <v>5</v>
      </c>
    </row>
    <row r="33">
      <c r="A33" s="7" t="s">
        <v>50</v>
      </c>
      <c r="B33" s="7" t="s">
        <v>5</v>
      </c>
      <c r="C33" s="7" t="s">
        <v>5</v>
      </c>
      <c r="D33" s="7" t="s">
        <v>5</v>
      </c>
    </row>
    <row r="34">
      <c r="A34" s="8" t="s">
        <v>51</v>
      </c>
      <c r="B34" s="8" t="s">
        <v>5</v>
      </c>
      <c r="C34" s="8" t="s">
        <v>5</v>
      </c>
      <c r="D34" s="8" t="s">
        <v>240</v>
      </c>
    </row>
    <row r="35">
      <c r="A35" s="7" t="s">
        <v>52</v>
      </c>
      <c r="B35" s="7" t="s">
        <v>5</v>
      </c>
      <c r="C35" s="7" t="s">
        <v>5</v>
      </c>
      <c r="D35" s="7" t="s">
        <v>240</v>
      </c>
    </row>
    <row r="36">
      <c r="A36" s="8" t="s">
        <v>53</v>
      </c>
      <c r="B36" s="8" t="s">
        <v>5</v>
      </c>
      <c r="C36" s="8" t="s">
        <v>5</v>
      </c>
      <c r="D36" s="8" t="s">
        <v>5</v>
      </c>
    </row>
    <row r="37">
      <c r="A37" s="7" t="s">
        <v>54</v>
      </c>
      <c r="B37" s="7" t="s">
        <v>5</v>
      </c>
      <c r="C37" s="7" t="s">
        <v>5</v>
      </c>
      <c r="D37" s="7" t="s">
        <v>5</v>
      </c>
    </row>
    <row r="38">
      <c r="A38" s="8" t="s">
        <v>55</v>
      </c>
      <c r="B38" s="8" t="s">
        <v>5</v>
      </c>
      <c r="C38" s="8" t="s">
        <v>5</v>
      </c>
      <c r="D38" s="8" t="s">
        <v>241</v>
      </c>
    </row>
    <row r="39">
      <c r="A39" s="7" t="s">
        <v>56</v>
      </c>
      <c r="B39" s="7" t="s">
        <v>5</v>
      </c>
      <c r="C39" s="7" t="s">
        <v>5</v>
      </c>
      <c r="D39" s="7" t="s">
        <v>241</v>
      </c>
    </row>
    <row r="40">
      <c r="A40" s="8" t="s">
        <v>57</v>
      </c>
      <c r="B40" s="8" t="s">
        <v>5</v>
      </c>
      <c r="C40" s="8" t="s">
        <v>5</v>
      </c>
      <c r="D40" s="8" t="s">
        <v>5</v>
      </c>
    </row>
    <row r="41">
      <c r="A41" s="7" t="s">
        <v>58</v>
      </c>
      <c r="B41" s="7" t="s">
        <v>5</v>
      </c>
      <c r="C41" s="7" t="s">
        <v>5</v>
      </c>
      <c r="D41" s="7" t="s">
        <v>5</v>
      </c>
    </row>
    <row r="42">
      <c r="A42" s="8" t="s">
        <v>59</v>
      </c>
      <c r="B42" s="8" t="s">
        <v>5</v>
      </c>
      <c r="C42" s="8" t="s">
        <v>5</v>
      </c>
      <c r="D42" s="8" t="s">
        <v>5</v>
      </c>
    </row>
    <row r="43">
      <c r="A43" s="7" t="s">
        <v>60</v>
      </c>
      <c r="B43" s="7" t="s">
        <v>5</v>
      </c>
      <c r="C43" s="7" t="s">
        <v>5</v>
      </c>
      <c r="D43" s="7" t="s">
        <v>5</v>
      </c>
    </row>
    <row r="44">
      <c r="A44" s="8" t="s">
        <v>61</v>
      </c>
      <c r="B44" s="8" t="s">
        <v>5</v>
      </c>
      <c r="C44" s="8" t="s">
        <v>5</v>
      </c>
      <c r="D44" s="8" t="s">
        <v>5</v>
      </c>
    </row>
    <row r="45">
      <c r="A45" s="7" t="s">
        <v>62</v>
      </c>
      <c r="B45" s="7" t="s">
        <v>5</v>
      </c>
      <c r="C45" s="7" t="s">
        <v>5</v>
      </c>
      <c r="D45" s="7" t="s">
        <v>5</v>
      </c>
    </row>
    <row r="46">
      <c r="A46" s="8" t="s">
        <v>63</v>
      </c>
      <c r="B46" s="8" t="s">
        <v>5</v>
      </c>
      <c r="C46" s="8" t="s">
        <v>5</v>
      </c>
      <c r="D46" s="8" t="s">
        <v>5</v>
      </c>
    </row>
    <row r="47">
      <c r="A47" s="7" t="s">
        <v>64</v>
      </c>
      <c r="B47" s="7" t="s">
        <v>5</v>
      </c>
      <c r="C47" s="7" t="s">
        <v>5</v>
      </c>
      <c r="D47" s="7" t="s">
        <v>243</v>
      </c>
    </row>
    <row r="48">
      <c r="A48" s="8" t="s">
        <v>65</v>
      </c>
      <c r="B48" s="8" t="s">
        <v>5</v>
      </c>
      <c r="C48" s="8" t="s">
        <v>5</v>
      </c>
      <c r="D48" s="8" t="s">
        <v>5</v>
      </c>
    </row>
    <row r="49">
      <c r="A49" s="7" t="s">
        <v>66</v>
      </c>
      <c r="B49" s="7" t="s">
        <v>5</v>
      </c>
      <c r="C49" s="7" t="s">
        <v>5</v>
      </c>
      <c r="D49" s="7" t="s">
        <v>5</v>
      </c>
    </row>
    <row r="50">
      <c r="A50" s="8" t="s">
        <v>67</v>
      </c>
      <c r="B50" s="8" t="s">
        <v>5</v>
      </c>
      <c r="C50" s="8" t="s">
        <v>5</v>
      </c>
      <c r="D50" s="8" t="s">
        <v>244</v>
      </c>
    </row>
    <row r="51">
      <c r="A51" s="7" t="s">
        <v>68</v>
      </c>
      <c r="B51" s="7" t="s">
        <v>5</v>
      </c>
      <c r="C51" s="109">
        <v>1.0</v>
      </c>
      <c r="D51" s="7" t="s">
        <v>242</v>
      </c>
    </row>
    <row r="52">
      <c r="A52" s="8" t="s">
        <v>69</v>
      </c>
      <c r="B52" s="8" t="s">
        <v>5</v>
      </c>
      <c r="C52" s="8" t="s">
        <v>5</v>
      </c>
      <c r="D52" s="8" t="s">
        <v>5</v>
      </c>
    </row>
    <row r="53">
      <c r="A53" s="7" t="s">
        <v>70</v>
      </c>
      <c r="B53" s="7" t="s">
        <v>5</v>
      </c>
      <c r="C53" s="109">
        <v>1.0</v>
      </c>
      <c r="D53" s="7" t="s">
        <v>242</v>
      </c>
    </row>
    <row r="54">
      <c r="A54" s="8" t="s">
        <v>71</v>
      </c>
      <c r="B54" s="8" t="s">
        <v>5</v>
      </c>
      <c r="C54" s="8" t="s">
        <v>5</v>
      </c>
      <c r="D54" s="8" t="s">
        <v>5</v>
      </c>
    </row>
    <row r="55">
      <c r="A55" s="7" t="s">
        <v>72</v>
      </c>
      <c r="B55" s="7" t="s">
        <v>5</v>
      </c>
      <c r="C55" s="7" t="s">
        <v>5</v>
      </c>
      <c r="D55" s="7" t="s">
        <v>5</v>
      </c>
    </row>
    <row r="56">
      <c r="A56" s="8" t="s">
        <v>73</v>
      </c>
      <c r="B56" s="8" t="s">
        <v>5</v>
      </c>
      <c r="C56" s="8" t="s">
        <v>5</v>
      </c>
      <c r="D56" s="8" t="s">
        <v>243</v>
      </c>
    </row>
    <row r="57">
      <c r="A57" s="7" t="s">
        <v>74</v>
      </c>
      <c r="B57" s="7" t="s">
        <v>5</v>
      </c>
      <c r="C57" s="7" t="s">
        <v>5</v>
      </c>
      <c r="D57" s="7" t="s">
        <v>243</v>
      </c>
    </row>
    <row r="58">
      <c r="A58" s="8" t="s">
        <v>75</v>
      </c>
      <c r="B58" s="8" t="s">
        <v>5</v>
      </c>
      <c r="C58" s="8" t="s">
        <v>5</v>
      </c>
      <c r="D58" s="8" t="s">
        <v>240</v>
      </c>
    </row>
    <row r="59">
      <c r="A59" s="7" t="s">
        <v>76</v>
      </c>
      <c r="B59" s="7" t="s">
        <v>5</v>
      </c>
      <c r="C59" s="7" t="s">
        <v>5</v>
      </c>
      <c r="D59" s="7" t="s">
        <v>240</v>
      </c>
    </row>
    <row r="60">
      <c r="A60" s="8" t="s">
        <v>77</v>
      </c>
      <c r="B60" s="8" t="s">
        <v>5</v>
      </c>
      <c r="C60" s="8" t="s">
        <v>5</v>
      </c>
      <c r="D60" s="8" t="s">
        <v>5</v>
      </c>
    </row>
    <row r="61">
      <c r="A61" s="7" t="s">
        <v>78</v>
      </c>
      <c r="B61" s="7" t="s">
        <v>5</v>
      </c>
      <c r="C61" s="7" t="s">
        <v>5</v>
      </c>
      <c r="D61" s="7" t="s">
        <v>5</v>
      </c>
    </row>
    <row r="62">
      <c r="A62" s="8" t="s">
        <v>79</v>
      </c>
      <c r="B62" s="8" t="s">
        <v>5</v>
      </c>
      <c r="C62" s="8" t="s">
        <v>5</v>
      </c>
      <c r="D62" s="8" t="s">
        <v>5</v>
      </c>
    </row>
    <row r="63">
      <c r="A63" s="7" t="s">
        <v>80</v>
      </c>
      <c r="B63" s="7" t="s">
        <v>5</v>
      </c>
      <c r="C63" s="7" t="s">
        <v>5</v>
      </c>
      <c r="D63" s="7" t="s">
        <v>5</v>
      </c>
    </row>
    <row r="64">
      <c r="A64" s="8" t="s">
        <v>81</v>
      </c>
      <c r="B64" s="8" t="s">
        <v>5</v>
      </c>
      <c r="C64" s="8" t="s">
        <v>5</v>
      </c>
      <c r="D64" s="8" t="s">
        <v>5</v>
      </c>
    </row>
    <row r="65">
      <c r="A65" s="7" t="s">
        <v>82</v>
      </c>
      <c r="B65" s="7" t="s">
        <v>5</v>
      </c>
      <c r="C65" s="7" t="s">
        <v>5</v>
      </c>
      <c r="D65" s="7" t="s">
        <v>5</v>
      </c>
    </row>
    <row r="66">
      <c r="A66" s="8" t="s">
        <v>83</v>
      </c>
      <c r="B66" s="8" t="s">
        <v>5</v>
      </c>
      <c r="C66" s="8" t="s">
        <v>5</v>
      </c>
      <c r="D66" s="8" t="s">
        <v>5</v>
      </c>
    </row>
    <row r="67">
      <c r="A67" s="7" t="s">
        <v>84</v>
      </c>
      <c r="B67" s="7" t="s">
        <v>5</v>
      </c>
      <c r="C67" s="7" t="s">
        <v>5</v>
      </c>
      <c r="D67" s="7" t="s">
        <v>238</v>
      </c>
    </row>
    <row r="68">
      <c r="A68" s="8" t="s">
        <v>85</v>
      </c>
      <c r="B68" s="8" t="s">
        <v>5</v>
      </c>
      <c r="C68" s="8" t="s">
        <v>5</v>
      </c>
      <c r="D68" s="8" t="s">
        <v>5</v>
      </c>
    </row>
    <row r="69">
      <c r="A69" s="7" t="s">
        <v>86</v>
      </c>
      <c r="B69" s="7" t="s">
        <v>5</v>
      </c>
      <c r="C69" s="7" t="s">
        <v>5</v>
      </c>
      <c r="D69" s="7" t="s">
        <v>5</v>
      </c>
    </row>
    <row r="70">
      <c r="A70" s="8" t="s">
        <v>87</v>
      </c>
      <c r="B70" s="8" t="s">
        <v>5</v>
      </c>
      <c r="C70" s="8" t="s">
        <v>5</v>
      </c>
      <c r="D70" s="8" t="s">
        <v>5</v>
      </c>
    </row>
    <row r="71">
      <c r="A71" s="7" t="s">
        <v>88</v>
      </c>
      <c r="B71" s="7" t="s">
        <v>5</v>
      </c>
      <c r="C71" s="7" t="s">
        <v>5</v>
      </c>
      <c r="D71" s="7" t="s">
        <v>5</v>
      </c>
    </row>
    <row r="72">
      <c r="A72" s="8" t="s">
        <v>89</v>
      </c>
      <c r="B72" s="8" t="s">
        <v>5</v>
      </c>
      <c r="C72" s="8" t="s">
        <v>5</v>
      </c>
      <c r="D72" s="8" t="s">
        <v>5</v>
      </c>
    </row>
    <row r="73">
      <c r="A73" s="7" t="s">
        <v>90</v>
      </c>
      <c r="B73" s="7" t="s">
        <v>5</v>
      </c>
      <c r="C73" s="109">
        <v>1.0</v>
      </c>
      <c r="D73" s="7" t="s">
        <v>242</v>
      </c>
    </row>
    <row r="74">
      <c r="A74" s="8" t="s">
        <v>245</v>
      </c>
      <c r="B74" s="8" t="s">
        <v>5</v>
      </c>
      <c r="C74" s="8" t="s">
        <v>5</v>
      </c>
      <c r="D74" s="8" t="s">
        <v>239</v>
      </c>
    </row>
    <row r="75">
      <c r="A75" s="7" t="s">
        <v>246</v>
      </c>
      <c r="B75" s="7" t="s">
        <v>5</v>
      </c>
      <c r="C75" s="7" t="s">
        <v>5</v>
      </c>
      <c r="D75" s="7" t="s">
        <v>239</v>
      </c>
    </row>
    <row r="76">
      <c r="A76" s="8" t="s">
        <v>247</v>
      </c>
      <c r="B76" s="8" t="s">
        <v>5</v>
      </c>
      <c r="C76" s="8" t="s">
        <v>5</v>
      </c>
      <c r="D76" s="8" t="s">
        <v>239</v>
      </c>
    </row>
    <row r="77">
      <c r="A77" s="7" t="s">
        <v>248</v>
      </c>
      <c r="B77" s="7" t="s">
        <v>5</v>
      </c>
      <c r="C77" s="7" t="s">
        <v>5</v>
      </c>
      <c r="D77" s="7" t="s">
        <v>243</v>
      </c>
    </row>
    <row r="78">
      <c r="A78" s="8" t="s">
        <v>249</v>
      </c>
      <c r="B78" s="8" t="s">
        <v>5</v>
      </c>
      <c r="C78" s="8" t="s">
        <v>5</v>
      </c>
      <c r="D78" s="8" t="s">
        <v>240</v>
      </c>
    </row>
    <row r="79">
      <c r="A79" s="7" t="s">
        <v>250</v>
      </c>
      <c r="B79" s="7" t="s">
        <v>5</v>
      </c>
      <c r="C79" s="7" t="s">
        <v>5</v>
      </c>
      <c r="D79" s="7" t="s">
        <v>239</v>
      </c>
    </row>
    <row r="80">
      <c r="A80" s="8" t="s">
        <v>251</v>
      </c>
      <c r="B80" s="8" t="s">
        <v>5</v>
      </c>
      <c r="C80" s="8" t="s">
        <v>5</v>
      </c>
      <c r="D80" s="8" t="s">
        <v>244</v>
      </c>
    </row>
    <row r="81">
      <c r="A81" s="7" t="s">
        <v>252</v>
      </c>
      <c r="B81" s="7" t="s">
        <v>5</v>
      </c>
      <c r="C81" s="7" t="s">
        <v>5</v>
      </c>
      <c r="D81" s="7" t="s">
        <v>243</v>
      </c>
    </row>
    <row r="82">
      <c r="A82" s="8" t="s">
        <v>253</v>
      </c>
      <c r="B82" s="8" t="s">
        <v>5</v>
      </c>
      <c r="C82" s="8" t="s">
        <v>5</v>
      </c>
      <c r="D82" s="8" t="s">
        <v>240</v>
      </c>
    </row>
    <row r="83">
      <c r="A83" s="7" t="s">
        <v>254</v>
      </c>
      <c r="B83" s="7" t="s">
        <v>5</v>
      </c>
      <c r="C83" s="7" t="s">
        <v>5</v>
      </c>
      <c r="D83" s="7" t="s">
        <v>240</v>
      </c>
    </row>
    <row r="84">
      <c r="A84" s="8" t="s">
        <v>255</v>
      </c>
      <c r="B84" s="8" t="s">
        <v>5</v>
      </c>
      <c r="C84" s="8" t="s">
        <v>5</v>
      </c>
      <c r="D84" s="8" t="s">
        <v>241</v>
      </c>
    </row>
    <row r="85">
      <c r="A85" s="7" t="s">
        <v>256</v>
      </c>
      <c r="B85" s="7" t="s">
        <v>5</v>
      </c>
      <c r="C85" s="7" t="s">
        <v>5</v>
      </c>
      <c r="D85" s="7" t="s">
        <v>240</v>
      </c>
    </row>
    <row r="86">
      <c r="A86" s="8" t="s">
        <v>257</v>
      </c>
      <c r="B86" s="8" t="s">
        <v>5</v>
      </c>
      <c r="C86" s="8" t="s">
        <v>5</v>
      </c>
      <c r="D86" s="8" t="s">
        <v>242</v>
      </c>
    </row>
    <row r="87">
      <c r="A87" s="7" t="s">
        <v>258</v>
      </c>
      <c r="B87" s="7" t="s">
        <v>5</v>
      </c>
      <c r="C87" s="7" t="s">
        <v>5</v>
      </c>
      <c r="D87" s="7" t="s">
        <v>242</v>
      </c>
    </row>
    <row r="88">
      <c r="A88" s="8" t="s">
        <v>259</v>
      </c>
      <c r="B88" s="8" t="s">
        <v>5</v>
      </c>
      <c r="C88" s="8" t="s">
        <v>5</v>
      </c>
      <c r="D88" s="8" t="s">
        <v>242</v>
      </c>
    </row>
    <row r="89">
      <c r="A89" s="7" t="s">
        <v>260</v>
      </c>
      <c r="B89" s="7" t="s">
        <v>5</v>
      </c>
      <c r="C89" s="7" t="s">
        <v>5</v>
      </c>
      <c r="D89" s="7" t="s">
        <v>240</v>
      </c>
    </row>
  </sheetData>
  <mergeCells count="1">
    <mergeCell ref="A1:D1"/>
  </mergeCells>
  <dataValidations>
    <dataValidation type="list" allowBlank="1" sqref="D3:D89">
      <formula1>"Bouteille,Boîte,Casier,Kg,L,Paquet,Pièce,Sachet"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10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19" t="s">
        <v>135</v>
      </c>
    </row>
    <row r="2">
      <c r="A2" s="20" t="s">
        <v>1</v>
      </c>
      <c r="B2" s="20" t="s">
        <v>2</v>
      </c>
      <c r="C2" s="20" t="s">
        <v>328</v>
      </c>
      <c r="D2" s="20" t="s">
        <v>3</v>
      </c>
    </row>
    <row r="3">
      <c r="A3" s="21" t="s">
        <v>136</v>
      </c>
      <c r="B3" s="21" t="s">
        <v>5</v>
      </c>
      <c r="C3" s="21" t="s">
        <v>5</v>
      </c>
      <c r="D3" s="21" t="s">
        <v>5</v>
      </c>
    </row>
    <row r="4">
      <c r="A4" s="22" t="s">
        <v>137</v>
      </c>
      <c r="B4" s="22" t="s">
        <v>5</v>
      </c>
      <c r="C4" s="22" t="s">
        <v>5</v>
      </c>
      <c r="D4" s="22" t="s">
        <v>5</v>
      </c>
    </row>
    <row r="5">
      <c r="A5" s="21" t="s">
        <v>138</v>
      </c>
      <c r="B5" s="21" t="s">
        <v>5</v>
      </c>
      <c r="C5" s="21" t="s">
        <v>5</v>
      </c>
      <c r="D5" s="21" t="s">
        <v>5</v>
      </c>
    </row>
    <row r="6">
      <c r="A6" s="22" t="s">
        <v>139</v>
      </c>
      <c r="B6" s="22" t="s">
        <v>5</v>
      </c>
      <c r="C6" s="22" t="s">
        <v>5</v>
      </c>
      <c r="D6" s="22" t="s">
        <v>5</v>
      </c>
    </row>
    <row r="7">
      <c r="A7" s="21" t="s">
        <v>140</v>
      </c>
      <c r="B7" s="21" t="s">
        <v>5</v>
      </c>
      <c r="C7" s="21" t="s">
        <v>5</v>
      </c>
      <c r="D7" s="21" t="s">
        <v>5</v>
      </c>
    </row>
  </sheetData>
  <mergeCells count="1">
    <mergeCell ref="A1:D1"/>
  </mergeCells>
  <dataValidations>
    <dataValidation type="list" allowBlank="1" sqref="D3:D7">
      <formula1>"Bouteille,Boîte,Casier,Kg,L,Paquet,Pièce,Sachet"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96F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27" t="s">
        <v>190</v>
      </c>
    </row>
    <row r="2">
      <c r="A2" s="28" t="s">
        <v>1</v>
      </c>
      <c r="B2" s="28" t="s">
        <v>2</v>
      </c>
      <c r="C2" s="28" t="s">
        <v>328</v>
      </c>
      <c r="D2" s="28" t="s">
        <v>3</v>
      </c>
    </row>
    <row r="3">
      <c r="A3" s="29" t="s">
        <v>191</v>
      </c>
      <c r="B3" s="29" t="s">
        <v>5</v>
      </c>
      <c r="C3" s="29" t="s">
        <v>5</v>
      </c>
      <c r="D3" s="29" t="s">
        <v>5</v>
      </c>
    </row>
    <row r="4">
      <c r="A4" s="30" t="s">
        <v>192</v>
      </c>
      <c r="B4" s="30" t="s">
        <v>5</v>
      </c>
      <c r="C4" s="30" t="s">
        <v>5</v>
      </c>
      <c r="D4" s="30" t="s">
        <v>5</v>
      </c>
    </row>
    <row r="5">
      <c r="A5" s="29" t="s">
        <v>193</v>
      </c>
      <c r="B5" s="29" t="s">
        <v>5</v>
      </c>
      <c r="C5" s="29" t="s">
        <v>5</v>
      </c>
      <c r="D5" s="29" t="s">
        <v>5</v>
      </c>
    </row>
    <row r="6">
      <c r="A6" s="30" t="s">
        <v>194</v>
      </c>
      <c r="B6" s="30" t="s">
        <v>5</v>
      </c>
      <c r="C6" s="30" t="s">
        <v>5</v>
      </c>
      <c r="D6" s="30" t="s">
        <v>5</v>
      </c>
    </row>
    <row r="7">
      <c r="A7" s="29" t="s">
        <v>195</v>
      </c>
      <c r="B7" s="29" t="s">
        <v>5</v>
      </c>
      <c r="C7" s="29" t="s">
        <v>5</v>
      </c>
      <c r="D7" s="29" t="s">
        <v>5</v>
      </c>
    </row>
    <row r="8">
      <c r="A8" s="30" t="s">
        <v>196</v>
      </c>
      <c r="B8" s="30" t="s">
        <v>5</v>
      </c>
      <c r="C8" s="30" t="s">
        <v>5</v>
      </c>
      <c r="D8" s="30" t="s">
        <v>5</v>
      </c>
    </row>
    <row r="9">
      <c r="A9" s="29" t="s">
        <v>197</v>
      </c>
      <c r="B9" s="29" t="s">
        <v>5</v>
      </c>
      <c r="C9" s="29" t="s">
        <v>5</v>
      </c>
      <c r="D9" s="29" t="s">
        <v>5</v>
      </c>
    </row>
    <row r="10">
      <c r="A10" s="30" t="s">
        <v>198</v>
      </c>
      <c r="B10" s="30" t="s">
        <v>5</v>
      </c>
      <c r="C10" s="30" t="s">
        <v>5</v>
      </c>
      <c r="D10" s="30" t="s">
        <v>5</v>
      </c>
    </row>
    <row r="11">
      <c r="A11" s="29" t="s">
        <v>199</v>
      </c>
      <c r="B11" s="29" t="s">
        <v>5</v>
      </c>
      <c r="C11" s="29" t="s">
        <v>5</v>
      </c>
      <c r="D11" s="29" t="s">
        <v>5</v>
      </c>
    </row>
    <row r="12">
      <c r="A12" s="30" t="s">
        <v>200</v>
      </c>
      <c r="B12" s="30" t="s">
        <v>5</v>
      </c>
      <c r="C12" s="30" t="s">
        <v>5</v>
      </c>
      <c r="D12" s="30" t="s">
        <v>5</v>
      </c>
    </row>
    <row r="13">
      <c r="A13" s="29" t="s">
        <v>201</v>
      </c>
      <c r="B13" s="29" t="s">
        <v>5</v>
      </c>
      <c r="C13" s="29" t="s">
        <v>5</v>
      </c>
      <c r="D13" s="29" t="s">
        <v>5</v>
      </c>
    </row>
  </sheetData>
  <mergeCells count="1">
    <mergeCell ref="A1:D1"/>
  </mergeCells>
  <dataValidations>
    <dataValidation type="list" allowBlank="1" sqref="D3:D13">
      <formula1>"Bouteille,Boîte,Casier,Kg,L,Paquet,Pièce,Sachet"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433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31" t="s">
        <v>202</v>
      </c>
    </row>
    <row r="2">
      <c r="A2" s="32" t="s">
        <v>1</v>
      </c>
      <c r="B2" s="32" t="s">
        <v>2</v>
      </c>
      <c r="C2" s="32" t="s">
        <v>328</v>
      </c>
      <c r="D2" s="32" t="s">
        <v>3</v>
      </c>
    </row>
    <row r="3">
      <c r="A3" s="33" t="s">
        <v>203</v>
      </c>
      <c r="B3" s="33" t="s">
        <v>5</v>
      </c>
      <c r="C3" s="33" t="s">
        <v>5</v>
      </c>
      <c r="D3" s="33" t="s">
        <v>5</v>
      </c>
    </row>
    <row r="4">
      <c r="A4" s="34" t="s">
        <v>204</v>
      </c>
      <c r="B4" s="34" t="s">
        <v>5</v>
      </c>
      <c r="C4" s="34" t="s">
        <v>5</v>
      </c>
      <c r="D4" s="34" t="s">
        <v>5</v>
      </c>
    </row>
    <row r="5">
      <c r="A5" s="33" t="s">
        <v>205</v>
      </c>
      <c r="B5" s="33" t="s">
        <v>5</v>
      </c>
      <c r="C5" s="33" t="s">
        <v>5</v>
      </c>
      <c r="D5" s="33" t="s">
        <v>5</v>
      </c>
    </row>
    <row r="6">
      <c r="A6" s="34" t="s">
        <v>206</v>
      </c>
      <c r="B6" s="34" t="s">
        <v>5</v>
      </c>
      <c r="C6" s="34" t="s">
        <v>5</v>
      </c>
      <c r="D6" s="34" t="s">
        <v>5</v>
      </c>
    </row>
    <row r="7">
      <c r="A7" s="33" t="s">
        <v>207</v>
      </c>
      <c r="B7" s="33" t="s">
        <v>5</v>
      </c>
      <c r="C7" s="33" t="s">
        <v>5</v>
      </c>
      <c r="D7" s="33" t="s">
        <v>5</v>
      </c>
    </row>
  </sheetData>
  <mergeCells count="1">
    <mergeCell ref="A1:D1"/>
  </mergeCells>
  <dataValidations>
    <dataValidation type="list" allowBlank="1" sqref="D3:D7">
      <formula1>"Bouteille,Boîte,Casier,Kg,L,Paquet,Pièce,Sachet"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27B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9" t="s">
        <v>261</v>
      </c>
    </row>
    <row r="2">
      <c r="A2" s="10" t="s">
        <v>1</v>
      </c>
      <c r="B2" s="10" t="s">
        <v>2</v>
      </c>
      <c r="C2" s="10" t="s">
        <v>328</v>
      </c>
      <c r="D2" s="10" t="s">
        <v>3</v>
      </c>
    </row>
    <row r="3">
      <c r="A3" s="11" t="s">
        <v>92</v>
      </c>
      <c r="B3" s="11" t="s">
        <v>5</v>
      </c>
      <c r="C3" s="11" t="s">
        <v>5</v>
      </c>
      <c r="D3" s="11" t="s">
        <v>5</v>
      </c>
    </row>
    <row r="4">
      <c r="A4" s="12" t="s">
        <v>93</v>
      </c>
      <c r="B4" s="12" t="s">
        <v>5</v>
      </c>
      <c r="C4" s="12" t="s">
        <v>5</v>
      </c>
      <c r="D4" s="12" t="s">
        <v>5</v>
      </c>
    </row>
    <row r="5">
      <c r="A5" s="11" t="s">
        <v>94</v>
      </c>
      <c r="B5" s="11" t="s">
        <v>5</v>
      </c>
      <c r="C5" s="11" t="s">
        <v>5</v>
      </c>
      <c r="D5" s="11" t="s">
        <v>5</v>
      </c>
    </row>
    <row r="6">
      <c r="A6" s="12" t="s">
        <v>95</v>
      </c>
      <c r="B6" s="12" t="s">
        <v>5</v>
      </c>
      <c r="C6" s="12" t="s">
        <v>5</v>
      </c>
      <c r="D6" s="12" t="s">
        <v>5</v>
      </c>
    </row>
    <row r="7">
      <c r="A7" s="11" t="s">
        <v>96</v>
      </c>
      <c r="B7" s="11" t="s">
        <v>5</v>
      </c>
      <c r="C7" s="11" t="s">
        <v>5</v>
      </c>
      <c r="D7" s="11" t="s">
        <v>5</v>
      </c>
    </row>
    <row r="8">
      <c r="A8" s="12" t="s">
        <v>97</v>
      </c>
      <c r="B8" s="12" t="s">
        <v>5</v>
      </c>
      <c r="C8" s="12" t="s">
        <v>5</v>
      </c>
      <c r="D8" s="12" t="s">
        <v>240</v>
      </c>
    </row>
    <row r="9">
      <c r="A9" s="11" t="s">
        <v>98</v>
      </c>
      <c r="B9" s="11" t="s">
        <v>5</v>
      </c>
      <c r="C9" s="11" t="s">
        <v>5</v>
      </c>
      <c r="D9" s="11" t="s">
        <v>240</v>
      </c>
    </row>
    <row r="10">
      <c r="A10" s="12" t="s">
        <v>99</v>
      </c>
      <c r="B10" s="12" t="s">
        <v>5</v>
      </c>
      <c r="C10" s="12" t="s">
        <v>5</v>
      </c>
      <c r="D10" s="12" t="s">
        <v>239</v>
      </c>
    </row>
    <row r="11">
      <c r="A11" s="11" t="s">
        <v>100</v>
      </c>
      <c r="B11" s="11" t="s">
        <v>5</v>
      </c>
      <c r="C11" s="11" t="s">
        <v>5</v>
      </c>
      <c r="D11" s="11" t="s">
        <v>240</v>
      </c>
    </row>
    <row r="12">
      <c r="A12" s="12" t="s">
        <v>101</v>
      </c>
      <c r="B12" s="12" t="s">
        <v>5</v>
      </c>
      <c r="C12" s="12" t="s">
        <v>5</v>
      </c>
      <c r="D12" s="12" t="s">
        <v>239</v>
      </c>
    </row>
    <row r="13">
      <c r="A13" s="11" t="s">
        <v>102</v>
      </c>
      <c r="B13" s="11" t="s">
        <v>5</v>
      </c>
      <c r="C13" s="11" t="s">
        <v>5</v>
      </c>
      <c r="D13" s="11" t="s">
        <v>240</v>
      </c>
    </row>
    <row r="14">
      <c r="A14" s="12" t="s">
        <v>262</v>
      </c>
      <c r="B14" s="12" t="s">
        <v>5</v>
      </c>
      <c r="C14" s="12" t="s">
        <v>5</v>
      </c>
      <c r="D14" s="12" t="s">
        <v>239</v>
      </c>
    </row>
    <row r="15">
      <c r="A15" s="11" t="s">
        <v>263</v>
      </c>
      <c r="B15" s="11" t="s">
        <v>5</v>
      </c>
      <c r="C15" s="11" t="s">
        <v>5</v>
      </c>
      <c r="D15" s="11" t="s">
        <v>239</v>
      </c>
    </row>
    <row r="16">
      <c r="A16" s="12" t="s">
        <v>264</v>
      </c>
      <c r="B16" s="12" t="s">
        <v>5</v>
      </c>
      <c r="C16" s="12" t="s">
        <v>5</v>
      </c>
      <c r="D16" s="12" t="s">
        <v>239</v>
      </c>
    </row>
    <row r="17">
      <c r="A17" s="11" t="s">
        <v>265</v>
      </c>
      <c r="B17" s="11" t="s">
        <v>5</v>
      </c>
      <c r="C17" s="11" t="s">
        <v>5</v>
      </c>
      <c r="D17" s="11" t="s">
        <v>243</v>
      </c>
    </row>
    <row r="18">
      <c r="A18" s="12" t="s">
        <v>266</v>
      </c>
      <c r="B18" s="12" t="s">
        <v>5</v>
      </c>
      <c r="C18" s="12" t="s">
        <v>5</v>
      </c>
      <c r="D18" s="12" t="s">
        <v>242</v>
      </c>
    </row>
  </sheetData>
  <mergeCells count="1">
    <mergeCell ref="A1:D1"/>
  </mergeCells>
  <dataValidations>
    <dataValidation type="list" allowBlank="1" sqref="D3:D18">
      <formula1>"Bouteille,Boîte,Casier,Kg,L,Paquet,Pièce,Sachet"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5" width="12.13"/>
  </cols>
  <sheetData>
    <row r="1">
      <c r="A1" s="13" t="s">
        <v>103</v>
      </c>
    </row>
    <row r="2">
      <c r="A2" s="14" t="s">
        <v>105</v>
      </c>
      <c r="B2" s="14" t="s">
        <v>104</v>
      </c>
      <c r="C2" s="14" t="s">
        <v>106</v>
      </c>
      <c r="D2" s="14" t="s">
        <v>329</v>
      </c>
      <c r="E2" s="14" t="s">
        <v>330</v>
      </c>
    </row>
    <row r="3">
      <c r="A3" s="15" t="s">
        <v>108</v>
      </c>
      <c r="B3" s="15" t="s">
        <v>107</v>
      </c>
      <c r="C3" s="16" t="s">
        <v>109</v>
      </c>
      <c r="D3" s="15" t="s">
        <v>5</v>
      </c>
      <c r="E3" s="15" t="s">
        <v>5</v>
      </c>
    </row>
    <row r="4">
      <c r="A4" s="17" t="s">
        <v>108</v>
      </c>
      <c r="B4" s="17" t="s">
        <v>110</v>
      </c>
      <c r="C4" s="18" t="s">
        <v>111</v>
      </c>
      <c r="D4" s="17" t="s">
        <v>5</v>
      </c>
      <c r="E4" s="17" t="s">
        <v>5</v>
      </c>
    </row>
    <row r="5">
      <c r="A5" s="15" t="s">
        <v>113</v>
      </c>
      <c r="B5" s="15" t="s">
        <v>112</v>
      </c>
      <c r="C5" s="16" t="s">
        <v>114</v>
      </c>
      <c r="D5" s="15" t="s">
        <v>5</v>
      </c>
      <c r="E5" s="15" t="s">
        <v>5</v>
      </c>
    </row>
    <row r="6">
      <c r="A6" s="17" t="s">
        <v>113</v>
      </c>
      <c r="B6" s="17" t="s">
        <v>115</v>
      </c>
      <c r="C6" s="18" t="s">
        <v>116</v>
      </c>
      <c r="D6" s="17" t="s">
        <v>5</v>
      </c>
      <c r="E6" s="17" t="s">
        <v>5</v>
      </c>
    </row>
    <row r="7">
      <c r="A7" s="15" t="s">
        <v>118</v>
      </c>
      <c r="B7" s="15" t="s">
        <v>117</v>
      </c>
      <c r="C7" s="16" t="s">
        <v>119</v>
      </c>
      <c r="D7" s="15" t="s">
        <v>5</v>
      </c>
      <c r="E7" s="15" t="s">
        <v>5</v>
      </c>
    </row>
    <row r="8">
      <c r="A8" s="17" t="s">
        <v>118</v>
      </c>
      <c r="B8" s="17" t="s">
        <v>120</v>
      </c>
      <c r="C8" s="18" t="s">
        <v>121</v>
      </c>
      <c r="D8" s="17" t="s">
        <v>5</v>
      </c>
      <c r="E8" s="17" t="s">
        <v>5</v>
      </c>
    </row>
    <row r="9">
      <c r="A9" s="15" t="s">
        <v>123</v>
      </c>
      <c r="B9" s="15" t="s">
        <v>122</v>
      </c>
      <c r="C9" s="16" t="s">
        <v>124</v>
      </c>
      <c r="D9" s="15" t="s">
        <v>5</v>
      </c>
      <c r="E9" s="15" t="s">
        <v>5</v>
      </c>
    </row>
    <row r="10">
      <c r="A10" s="17" t="s">
        <v>123</v>
      </c>
      <c r="B10" s="17" t="s">
        <v>125</v>
      </c>
      <c r="C10" s="18" t="s">
        <v>126</v>
      </c>
      <c r="D10" s="17" t="s">
        <v>5</v>
      </c>
      <c r="E10" s="17" t="s">
        <v>5</v>
      </c>
    </row>
    <row r="11">
      <c r="A11" s="15" t="s">
        <v>128</v>
      </c>
      <c r="B11" s="15" t="s">
        <v>127</v>
      </c>
      <c r="C11" s="16" t="s">
        <v>129</v>
      </c>
      <c r="D11" s="15" t="s">
        <v>5</v>
      </c>
      <c r="E11" s="15" t="s">
        <v>5</v>
      </c>
    </row>
    <row r="12">
      <c r="A12" s="17" t="s">
        <v>128</v>
      </c>
      <c r="B12" s="17" t="s">
        <v>130</v>
      </c>
      <c r="C12" s="18" t="s">
        <v>131</v>
      </c>
      <c r="D12" s="17" t="s">
        <v>5</v>
      </c>
      <c r="E12" s="17" t="s">
        <v>5</v>
      </c>
    </row>
    <row r="13">
      <c r="A13" s="15" t="s">
        <v>133</v>
      </c>
      <c r="B13" s="15" t="s">
        <v>132</v>
      </c>
      <c r="C13" s="15" t="s">
        <v>5</v>
      </c>
      <c r="D13" s="15" t="s">
        <v>5</v>
      </c>
      <c r="E13" s="15" t="s">
        <v>5</v>
      </c>
    </row>
    <row r="14">
      <c r="A14" s="17" t="s">
        <v>133</v>
      </c>
      <c r="B14" s="17" t="s">
        <v>134</v>
      </c>
      <c r="C14" s="17" t="s">
        <v>5</v>
      </c>
      <c r="D14" s="17" t="s">
        <v>5</v>
      </c>
      <c r="E14" s="17" t="s">
        <v>5</v>
      </c>
    </row>
    <row r="15">
      <c r="A15" s="82"/>
      <c r="B15" s="82"/>
      <c r="C15" s="82"/>
      <c r="D15" s="82"/>
      <c r="E15" s="82"/>
    </row>
    <row r="16">
      <c r="A16" s="83"/>
      <c r="B16" s="83"/>
      <c r="C16" s="83"/>
      <c r="D16" s="83"/>
      <c r="E16" s="83"/>
    </row>
    <row r="17">
      <c r="A17" s="82"/>
      <c r="B17" s="82"/>
      <c r="C17" s="82"/>
      <c r="D17" s="82"/>
      <c r="E17" s="82"/>
    </row>
    <row r="18">
      <c r="A18" s="83"/>
      <c r="B18" s="83"/>
      <c r="C18" s="83"/>
      <c r="D18" s="83"/>
      <c r="E18" s="83"/>
    </row>
    <row r="19">
      <c r="A19" s="82"/>
      <c r="B19" s="82"/>
      <c r="C19" s="82"/>
      <c r="D19" s="82"/>
      <c r="E19" s="82"/>
    </row>
    <row r="20">
      <c r="A20" s="83"/>
      <c r="B20" s="83"/>
      <c r="C20" s="83"/>
      <c r="D20" s="83"/>
      <c r="E20" s="83"/>
    </row>
    <row r="21">
      <c r="A21" s="82"/>
      <c r="B21" s="82"/>
      <c r="C21" s="82"/>
      <c r="D21" s="82"/>
      <c r="E21" s="82"/>
    </row>
    <row r="22">
      <c r="A22" s="83"/>
      <c r="B22" s="83"/>
      <c r="C22" s="83"/>
      <c r="D22" s="83"/>
      <c r="E22" s="83"/>
    </row>
    <row r="23">
      <c r="A23" s="82"/>
      <c r="B23" s="82"/>
      <c r="C23" s="82"/>
      <c r="D23" s="82"/>
      <c r="E23" s="82"/>
    </row>
    <row r="24">
      <c r="A24" s="83"/>
      <c r="B24" s="83"/>
      <c r="C24" s="83"/>
      <c r="D24" s="83"/>
      <c r="E24" s="83"/>
    </row>
    <row r="25">
      <c r="A25" s="82"/>
      <c r="B25" s="82"/>
      <c r="C25" s="82"/>
      <c r="D25" s="82"/>
      <c r="E25" s="82"/>
    </row>
    <row r="26">
      <c r="A26" s="83"/>
      <c r="B26" s="83"/>
      <c r="C26" s="83"/>
      <c r="D26" s="83"/>
      <c r="E26" s="83"/>
    </row>
    <row r="27">
      <c r="A27" s="82"/>
      <c r="B27" s="82"/>
      <c r="C27" s="82"/>
      <c r="D27" s="82"/>
      <c r="E27" s="82"/>
    </row>
    <row r="28">
      <c r="A28" s="83"/>
      <c r="B28" s="83"/>
      <c r="C28" s="83"/>
      <c r="D28" s="83"/>
      <c r="E28" s="83"/>
    </row>
    <row r="29">
      <c r="A29" s="82"/>
      <c r="B29" s="82"/>
      <c r="C29" s="82"/>
      <c r="D29" s="82"/>
      <c r="E29" s="82"/>
    </row>
    <row r="30">
      <c r="A30" s="83"/>
      <c r="B30" s="83"/>
      <c r="C30" s="83"/>
      <c r="D30" s="83"/>
      <c r="E30" s="83"/>
    </row>
    <row r="31">
      <c r="A31" s="82"/>
      <c r="B31" s="82"/>
      <c r="C31" s="82"/>
      <c r="D31" s="82"/>
      <c r="E31" s="82"/>
    </row>
    <row r="32">
      <c r="A32" s="83"/>
      <c r="B32" s="83"/>
      <c r="C32" s="83"/>
      <c r="D32" s="83"/>
      <c r="E32" s="83"/>
    </row>
  </sheetData>
  <mergeCells count="1">
    <mergeCell ref="A1:E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97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10.63"/>
    <col customWidth="1" min="4" max="4" width="12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328</v>
      </c>
      <c r="D2" s="2" t="s">
        <v>3</v>
      </c>
    </row>
    <row r="3">
      <c r="A3" s="3" t="s">
        <v>4</v>
      </c>
      <c r="B3" s="3" t="s">
        <v>5</v>
      </c>
      <c r="C3" s="3" t="s">
        <v>5</v>
      </c>
      <c r="D3" s="3" t="s">
        <v>6</v>
      </c>
    </row>
    <row r="4">
      <c r="A4" s="4" t="s">
        <v>7</v>
      </c>
      <c r="B4" s="4" t="s">
        <v>5</v>
      </c>
      <c r="C4" s="4" t="s">
        <v>5</v>
      </c>
      <c r="D4" s="4" t="s">
        <v>6</v>
      </c>
    </row>
    <row r="5">
      <c r="A5" s="3" t="s">
        <v>8</v>
      </c>
      <c r="B5" s="3" t="s">
        <v>5</v>
      </c>
      <c r="C5" s="3" t="s">
        <v>5</v>
      </c>
      <c r="D5" s="3" t="s">
        <v>6</v>
      </c>
    </row>
    <row r="6">
      <c r="A6" s="4" t="s">
        <v>9</v>
      </c>
      <c r="B6" s="4" t="s">
        <v>5</v>
      </c>
      <c r="C6" s="4" t="s">
        <v>5</v>
      </c>
      <c r="D6" s="4" t="s">
        <v>6</v>
      </c>
    </row>
    <row r="7">
      <c r="A7" s="3" t="s">
        <v>10</v>
      </c>
      <c r="B7" s="3" t="s">
        <v>5</v>
      </c>
      <c r="C7" s="3" t="s">
        <v>5</v>
      </c>
      <c r="D7" s="3" t="s">
        <v>6</v>
      </c>
    </row>
    <row r="8">
      <c r="A8" s="4" t="s">
        <v>11</v>
      </c>
      <c r="B8" s="4" t="s">
        <v>5</v>
      </c>
      <c r="C8" s="4" t="s">
        <v>5</v>
      </c>
      <c r="D8" s="4" t="s">
        <v>6</v>
      </c>
    </row>
    <row r="9">
      <c r="A9" s="3" t="s">
        <v>12</v>
      </c>
      <c r="B9" s="3" t="s">
        <v>5</v>
      </c>
      <c r="C9" s="3" t="s">
        <v>5</v>
      </c>
      <c r="D9" s="3" t="s">
        <v>6</v>
      </c>
    </row>
    <row r="10">
      <c r="A10" s="4" t="s">
        <v>13</v>
      </c>
      <c r="B10" s="4" t="s">
        <v>5</v>
      </c>
      <c r="C10" s="4" t="s">
        <v>5</v>
      </c>
      <c r="D10" s="4" t="s">
        <v>6</v>
      </c>
    </row>
    <row r="11">
      <c r="A11" s="3" t="s">
        <v>14</v>
      </c>
      <c r="B11" s="3" t="s">
        <v>5</v>
      </c>
      <c r="C11" s="3" t="s">
        <v>5</v>
      </c>
      <c r="D11" s="3" t="s">
        <v>6</v>
      </c>
    </row>
    <row r="12">
      <c r="A12" s="4" t="s">
        <v>15</v>
      </c>
      <c r="B12" s="4" t="s">
        <v>5</v>
      </c>
      <c r="C12" s="4" t="s">
        <v>5</v>
      </c>
      <c r="D12" s="4" t="s">
        <v>6</v>
      </c>
    </row>
    <row r="13">
      <c r="A13" s="3" t="s">
        <v>16</v>
      </c>
      <c r="B13" s="3" t="s">
        <v>5</v>
      </c>
      <c r="C13" s="3" t="s">
        <v>5</v>
      </c>
      <c r="D13" s="3" t="s">
        <v>6</v>
      </c>
    </row>
    <row r="14">
      <c r="A14" s="4" t="s">
        <v>17</v>
      </c>
      <c r="B14" s="4" t="s">
        <v>5</v>
      </c>
      <c r="C14" s="4" t="s">
        <v>5</v>
      </c>
      <c r="D14" s="4" t="s">
        <v>6</v>
      </c>
    </row>
    <row r="15">
      <c r="A15" s="3" t="s">
        <v>18</v>
      </c>
      <c r="B15" s="3" t="s">
        <v>5</v>
      </c>
      <c r="C15" s="3" t="s">
        <v>5</v>
      </c>
      <c r="D15" s="3" t="s">
        <v>6</v>
      </c>
    </row>
  </sheetData>
  <mergeCells count="1">
    <mergeCell ref="A1:D1"/>
  </mergeCells>
  <dataValidations>
    <dataValidation type="list" allowBlank="1" sqref="D3:D15">
      <formula1>"Bouteille,Boîte,Casier,Kg,L,Paquet,Pièce,Sachet"</formula1>
    </dataValidation>
  </dataValidations>
  <drawing r:id="rId1"/>
</worksheet>
</file>